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arielsc\Documents\Excel\Demos\Excel 2013 Demo Docs\"/>
    </mc:Choice>
  </mc:AlternateContent>
  <bookViews>
    <workbookView xWindow="5130" yWindow="0" windowWidth="6840" windowHeight="5820" activeTab="1"/>
  </bookViews>
  <sheets>
    <sheet name="Documentation" sheetId="15" r:id="rId1"/>
    <sheet name="P&amp;L Statement" sheetId="10" r:id="rId2"/>
    <sheet name="CASH_FLOW" sheetId="9" r:id="rId3"/>
    <sheet name="Cost Cap" sheetId="5" r:id="rId4"/>
    <sheet name="Commissions" sheetId="11" state="hidden" r:id="rId5"/>
    <sheet name="ExchRates" sheetId="12" r:id="rId6"/>
    <sheet name="Access Database" sheetId="13" r:id="rId7"/>
    <sheet name=" ExchRates" sheetId="14" state="veryHidden" r:id="rId8"/>
  </sheets>
  <externalReferences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</externalReferences>
  <definedNames>
    <definedName name="CurrentDateCell">ExchRates!$A$1</definedName>
    <definedName name="GenExpenses">'P&amp;L Statement'!$B$42:$C$53</definedName>
    <definedName name="GPPrior" localSheetId="1">'P&amp;L Statement'!$B$25</definedName>
    <definedName name="GrossProfit">'P&amp;L Statement'!$B$25:$G$25</definedName>
    <definedName name="MS_Access_Database" localSheetId="6">'Access Database'!$A$1:$N$70</definedName>
    <definedName name="OpExpenses">'P&amp;L Statement'!$B$29:$C$32</definedName>
    <definedName name="RDExpenses">'P&amp;L Statement'!$B$36:$C$39</definedName>
    <definedName name="RevenueData">'P&amp;L Statement'!$B$11:$C$14</definedName>
    <definedName name="RSMESheetID" localSheetId="7">"{82A3D5E3-8379-4DBB-8F37-A571B8E65BCC}"</definedName>
    <definedName name="SalesCostBudget">'P&amp;L Statement'!$C$23</definedName>
    <definedName name="SalesCostCurrent">'P&amp;L Statement'!$D$23</definedName>
    <definedName name="SalesCostPrior">'P&amp;L Statement'!$B$23</definedName>
    <definedName name="SalesData">'P&amp;L Statement'!$B$18:$C$22</definedName>
    <definedName name="table" localSheetId="5">ExchRates!$A$2:$C$59</definedName>
    <definedName name="Z_2BB9D149_3035_471F_8023_B102C129B036_.wvu.Cols" localSheetId="0" hidden="1">Documentation!$B:$B</definedName>
    <definedName name="Z_2BB9D149_3035_471F_8023_B102C129B036_.wvu.Rows" localSheetId="2" hidden="1">CASH_FLOW!$2:$8</definedName>
    <definedName name="Z_8A6DCCC5_D866_46E7_B008_2AB15BA7B0AA_.wvu.Cols" localSheetId="0" hidden="1">Documentation!$B:$B</definedName>
    <definedName name="Z_8A6DCCC5_D866_46E7_B008_2AB15BA7B0AA_.wvu.Rows" localSheetId="2" hidden="1">CASH_FLOW!$2:$8</definedName>
  </definedNames>
  <calcPr calcId="152511"/>
  <customWorkbookViews>
    <customWorkbookView name="Show print settings" guid="{8A6DCCC5-D866-46E7-B008-2AB15BA7B0AA}" xWindow="52" yWindow="52" windowWidth="1471" windowHeight="797" activeSheetId="10"/>
    <customWorkbookView name="Don't show print settings" guid="{2BB9D149-3035-471F-8023-B102C129B036}" includePrintSettings="0" xWindow="52" yWindow="52" windowWidth="1471" windowHeight="797" activeSheetId="10"/>
  </customWorkbookViews>
</workbook>
</file>

<file path=xl/calcChain.xml><?xml version="1.0" encoding="utf-8"?>
<calcChain xmlns="http://schemas.openxmlformats.org/spreadsheetml/2006/main">
  <c r="D13" i="10" l="1"/>
  <c r="D14" i="10"/>
  <c r="D12" i="10"/>
  <c r="D11" i="10"/>
  <c r="E20" i="9"/>
  <c r="E19" i="9"/>
  <c r="E18" i="9"/>
  <c r="E17" i="9"/>
  <c r="D17" i="9"/>
  <c r="E15" i="9"/>
  <c r="C13" i="5"/>
  <c r="D13" i="5"/>
  <c r="D12" i="5"/>
  <c r="C12" i="5"/>
  <c r="F23" i="10" l="1"/>
  <c r="D23" i="10" l="1"/>
  <c r="C23" i="10"/>
  <c r="F19" i="10"/>
  <c r="G19" i="10"/>
  <c r="B23" i="10" l="1"/>
  <c r="G20" i="10" l="1"/>
  <c r="F13" i="10" l="1"/>
  <c r="F12" i="10"/>
  <c r="F8" i="10" l="1"/>
  <c r="B15" i="10" l="1"/>
  <c r="B25" i="10" s="1"/>
  <c r="A1" i="12" l="1"/>
  <c r="A7" i="11"/>
  <c r="A8" i="11"/>
  <c r="A9" i="11"/>
  <c r="C20" i="5"/>
  <c r="D20" i="5"/>
  <c r="C29" i="5"/>
  <c r="D29" i="5"/>
  <c r="C50" i="5"/>
  <c r="D50" i="5"/>
  <c r="G19" i="9"/>
  <c r="B6" i="10"/>
  <c r="G11" i="10"/>
  <c r="G12" i="10"/>
  <c r="F14" i="10"/>
  <c r="G14" i="10"/>
  <c r="C15" i="10"/>
  <c r="F18" i="10"/>
  <c r="G18" i="10"/>
  <c r="F21" i="10"/>
  <c r="G21" i="10"/>
  <c r="F22" i="10"/>
  <c r="G22" i="10"/>
  <c r="F29" i="10"/>
  <c r="G29" i="10"/>
  <c r="F30" i="10"/>
  <c r="G30" i="10"/>
  <c r="F31" i="10"/>
  <c r="G31" i="10"/>
  <c r="F32" i="10"/>
  <c r="G32" i="10"/>
  <c r="B33" i="10"/>
  <c r="C33" i="10"/>
  <c r="D33" i="10"/>
  <c r="F36" i="10"/>
  <c r="G36" i="10"/>
  <c r="F37" i="10"/>
  <c r="G37" i="10"/>
  <c r="F38" i="10"/>
  <c r="G38" i="10"/>
  <c r="F39" i="10"/>
  <c r="G39" i="10"/>
  <c r="B40" i="10"/>
  <c r="C40" i="10"/>
  <c r="D40" i="10"/>
  <c r="F42" i="10"/>
  <c r="G42" i="10"/>
  <c r="F43" i="10"/>
  <c r="G43" i="10"/>
  <c r="F44" i="10"/>
  <c r="G44" i="10"/>
  <c r="F45" i="10"/>
  <c r="G45" i="10"/>
  <c r="F46" i="10"/>
  <c r="G46" i="10"/>
  <c r="F47" i="10"/>
  <c r="G47" i="10"/>
  <c r="F48" i="10"/>
  <c r="G48" i="10"/>
  <c r="F49" i="10"/>
  <c r="G49" i="10"/>
  <c r="F50" i="10"/>
  <c r="G50" i="10"/>
  <c r="F51" i="10"/>
  <c r="F52" i="10"/>
  <c r="G52" i="10"/>
  <c r="F53" i="10"/>
  <c r="G53" i="10"/>
  <c r="B54" i="10"/>
  <c r="C54" i="10"/>
  <c r="D54" i="10"/>
  <c r="B61" i="10"/>
  <c r="D61" i="10"/>
  <c r="G61" i="10" s="1"/>
  <c r="G63" i="10"/>
  <c r="F64" i="10"/>
  <c r="G64" i="10"/>
  <c r="F65" i="10"/>
  <c r="G65" i="10"/>
  <c r="F66" i="10"/>
  <c r="G66" i="10"/>
  <c r="F67" i="10"/>
  <c r="G67" i="10"/>
  <c r="B68" i="10"/>
  <c r="C68" i="10"/>
  <c r="D68" i="10"/>
  <c r="G68" i="10" s="1"/>
  <c r="C25" i="10" l="1"/>
  <c r="C7" i="10" s="1"/>
  <c r="D57" i="10"/>
  <c r="F40" i="10"/>
  <c r="F68" i="10"/>
  <c r="G40" i="10"/>
  <c r="F61" i="10"/>
  <c r="G54" i="10"/>
  <c r="F54" i="10"/>
  <c r="G33" i="10"/>
  <c r="F33" i="10"/>
  <c r="G23" i="10"/>
  <c r="D15" i="10"/>
  <c r="F11" i="10"/>
  <c r="G13" i="10"/>
  <c r="C57" i="10"/>
  <c r="B57" i="10"/>
  <c r="F57" i="10" s="1"/>
  <c r="E19" i="10" l="1"/>
  <c r="E20" i="10"/>
  <c r="D25" i="10"/>
  <c r="D7" i="10" s="1"/>
  <c r="G57" i="10"/>
  <c r="F15" i="10"/>
  <c r="G15" i="10"/>
  <c r="E51" i="10"/>
  <c r="E42" i="10"/>
  <c r="E36" i="10"/>
  <c r="E21" i="10"/>
  <c r="E46" i="10"/>
  <c r="E47" i="10"/>
  <c r="E32" i="10"/>
  <c r="E22" i="10"/>
  <c r="E30" i="10"/>
  <c r="E52" i="10"/>
  <c r="E18" i="10"/>
  <c r="E40" i="10"/>
  <c r="E11" i="10"/>
  <c r="E31" i="10"/>
  <c r="E44" i="10"/>
  <c r="E54" i="10"/>
  <c r="E63" i="10"/>
  <c r="E64" i="10"/>
  <c r="E37" i="10"/>
  <c r="E39" i="10"/>
  <c r="E12" i="10"/>
  <c r="E67" i="10"/>
  <c r="E14" i="10"/>
  <c r="E23" i="10"/>
  <c r="E33" i="10"/>
  <c r="E45" i="10"/>
  <c r="E61" i="10"/>
  <c r="E57" i="10"/>
  <c r="E48" i="10"/>
  <c r="E68" i="10"/>
  <c r="E53" i="10"/>
  <c r="E65" i="10"/>
  <c r="E43" i="10"/>
  <c r="E29" i="10"/>
  <c r="E38" i="10"/>
  <c r="E66" i="10"/>
  <c r="E50" i="10"/>
  <c r="E13" i="10"/>
  <c r="C59" i="10"/>
  <c r="C70" i="10" s="1"/>
  <c r="C8" i="10" s="1"/>
  <c r="C9" i="10" s="1"/>
  <c r="B59" i="10"/>
  <c r="E15" i="10" l="1"/>
  <c r="D59" i="10"/>
  <c r="G59" i="10" s="1"/>
  <c r="G25" i="10"/>
  <c r="F25" i="10"/>
  <c r="E25" i="10"/>
  <c r="D70" i="10" l="1"/>
  <c r="D8" i="10" s="1"/>
  <c r="D9" i="10" s="1"/>
  <c r="E59" i="10"/>
  <c r="F59" i="10"/>
  <c r="B8" i="10" l="1"/>
  <c r="E70" i="10"/>
  <c r="B70" i="10" s="1"/>
  <c r="G70" i="10"/>
  <c r="F70" i="10" l="1"/>
  <c r="B7" i="10"/>
  <c r="B9" i="10" s="1"/>
</calcChain>
</file>

<file path=xl/comments1.xml><?xml version="1.0" encoding="utf-8"?>
<comments xmlns="http://schemas.openxmlformats.org/spreadsheetml/2006/main">
  <authors>
    <author>PRODIANCE\Steve</author>
    <author>ESM\auditor</author>
  </authors>
  <commentList>
    <comment ref="G57" authorId="0" shapeId="0">
      <text>
        <r>
          <rPr>
            <b/>
            <sz val="8"/>
            <color indexed="81"/>
            <rFont val="Tahoma"/>
            <family val="2"/>
          </rPr>
          <t>PRODIANCE\Steve:</t>
        </r>
        <r>
          <rPr>
            <sz val="8"/>
            <color indexed="81"/>
            <rFont val="Tahoma"/>
            <family val="2"/>
          </rPr>
          <t xml:space="preserve">
Be careful not to modify this formula, as it is referenced by an external workbook.</t>
        </r>
      </text>
    </comment>
    <comment ref="B59" authorId="1" shapeId="0">
      <text>
        <r>
          <rPr>
            <b/>
            <sz val="8"/>
            <color indexed="81"/>
            <rFont val="Tahoma"/>
            <family val="2"/>
          </rPr>
          <t>ESM\auditor:</t>
        </r>
        <r>
          <rPr>
            <sz val="8"/>
            <color indexed="81"/>
            <rFont val="Tahoma"/>
            <family val="2"/>
          </rPr>
          <t xml:space="preserve">
This formula is used to compute the actual income from prior period.</t>
        </r>
      </text>
    </comment>
    <comment ref="C59" authorId="1" shapeId="0">
      <text>
        <r>
          <rPr>
            <b/>
            <sz val="8"/>
            <color indexed="81"/>
            <rFont val="Tahoma"/>
            <family val="2"/>
          </rPr>
          <t>ESM\auditor:</t>
        </r>
        <r>
          <rPr>
            <sz val="8"/>
            <color indexed="81"/>
            <rFont val="Tahoma"/>
            <family val="2"/>
          </rPr>
          <t xml:space="preserve">
This formula is used to compute the projected income for next period.</t>
        </r>
      </text>
    </comment>
  </commentList>
</comments>
</file>

<file path=xl/connections.xml><?xml version="1.0" encoding="utf-8"?>
<connections xmlns="http://schemas.openxmlformats.org/spreadsheetml/2006/main">
  <connection id="1" name="Connection" type="1" refreshedVersion="4" background="1" saveData="1">
    <dbPr connection="DSN=MS Access Database;DBQ=\\dcf001\TeamFolders\Excel Services\Budget\Northwind1.mdb;DriverId=25;FIL=MS Access;MaxBufferSize=2048;PageTimeout=5;" command="SELECT `Alphabetical List of Products`.ProductID, `Alphabetical List of Products`.ProductName, `Alphabetical List of Products`.SupplierID, `Alphabetical List of Products`.CategoryID, `Alphabetical List of Products`.QuantityPerUnit, `Alphabetical List of Products`.UnitPrice, `Alphabetical List of Products`.UnitsInStock, `Alphabetical List of Products`.UnitsOnOrder, `Alphabetical List of Products`.ReorderLevel, `Alphabetical List of Products`.Discontinued, `Alphabetical List of Products`.CategoryName, Categories.CategoryID, Categories.CategoryName, Categories.Description_x000d__x000a_FROM `\\dcf001\TeamFolders\Excel Services\Budget\Northwind1`.`Alphabetical List of Products` `Alphabetical List of Products`, `\\dcf001\TeamFolders\Excel Services\Budget\Northwind1`.Categories Categories_x000d__x000a_WHERE `Alphabetical List of Products`.CategoryID = Categories.CategoryID AND `Alphabetical List of Products`.CategoryName = Categories.CategoryName"/>
  </connection>
  <connection id="2" name="Connection1" type="4" refreshedVersion="3" background="1" saveData="1">
    <webPr sourceData="1" parsePre="1" consecutive="1" xl2000="1" url="http://www.x-rates.com/d/USD/table.html" htmlTables="1">
      <tables count="1">
        <x v="13"/>
      </tables>
    </webPr>
  </connection>
</connections>
</file>

<file path=xl/sharedStrings.xml><?xml version="1.0" encoding="utf-8"?>
<sst xmlns="http://schemas.openxmlformats.org/spreadsheetml/2006/main" count="732" uniqueCount="420">
  <si>
    <t>Profit and Loss Statement</t>
  </si>
  <si>
    <t>Stated in 000s</t>
  </si>
  <si>
    <t>Gross margin  [L/J]</t>
  </si>
  <si>
    <t>Return on sales  [T/J]</t>
  </si>
  <si>
    <t>Prior Period</t>
  </si>
  <si>
    <t>Budget</t>
  </si>
  <si>
    <t>Current Period</t>
  </si>
  <si>
    <t>Current Period as % of Sales</t>
  </si>
  <si>
    <t xml:space="preserve">  % Change from Prior Period</t>
  </si>
  <si>
    <t>% Change from Budget</t>
  </si>
  <si>
    <t>Sales Revenue</t>
  </si>
  <si>
    <t>Product/Service 1</t>
  </si>
  <si>
    <t>Product/Service 2</t>
  </si>
  <si>
    <t>Product/Service 3</t>
  </si>
  <si>
    <t>Product/Service 4</t>
  </si>
  <si>
    <t>Total Sales Revenue  [J]</t>
  </si>
  <si>
    <t>Total Cost of Sales  [K]</t>
  </si>
  <si>
    <t>Gross Profit  [L=J-K]</t>
  </si>
  <si>
    <t>Operating Expenses</t>
  </si>
  <si>
    <t>Sales and Marketing</t>
  </si>
  <si>
    <t>Advertising</t>
  </si>
  <si>
    <t>Direct marketing</t>
  </si>
  <si>
    <t>Other expenses (specify)</t>
  </si>
  <si>
    <t>Total Sales and Marketing Expenses  [M]</t>
  </si>
  <si>
    <t>Research and Development</t>
  </si>
  <si>
    <t>Technology licenses</t>
  </si>
  <si>
    <t xml:space="preserve">Patents </t>
  </si>
  <si>
    <t>Total Research and Development Expenses  [N]</t>
  </si>
  <si>
    <t>General and Adminstrative</t>
  </si>
  <si>
    <t>Wages and salaries</t>
  </si>
  <si>
    <t>Outside services</t>
  </si>
  <si>
    <t>Supplies</t>
  </si>
  <si>
    <t>Meals and entertainment</t>
  </si>
  <si>
    <t>Rent</t>
  </si>
  <si>
    <t>Telephone</t>
  </si>
  <si>
    <t>Utilities</t>
  </si>
  <si>
    <t>Depreciation</t>
  </si>
  <si>
    <t>Insurance</t>
  </si>
  <si>
    <t>Repairs and maintenance</t>
  </si>
  <si>
    <t>Total General and Adminstrative Expenses  [O]</t>
  </si>
  <si>
    <t>Total Operating Expenses  [P=M+N+O]</t>
  </si>
  <si>
    <t>Income from Operations  [Q=L-P]</t>
  </si>
  <si>
    <t>Other Income  [R]</t>
  </si>
  <si>
    <t>Taxes</t>
  </si>
  <si>
    <t>Income taxes</t>
  </si>
  <si>
    <t>Payroll taxes</t>
  </si>
  <si>
    <t>Real estate taxes</t>
  </si>
  <si>
    <t>Other taxes (specify)</t>
  </si>
  <si>
    <t>Total Taxes  [S]</t>
  </si>
  <si>
    <t>Net Profit  [T=Q+R-S]</t>
  </si>
  <si>
    <t/>
  </si>
  <si>
    <t>COST CAPITALIZATION</t>
  </si>
  <si>
    <t>Form Type: 10-Q</t>
  </si>
  <si>
    <t>Period End: Mar 31, 2005</t>
  </si>
  <si>
    <t>Date Filed: Apr 7, 2006</t>
  </si>
  <si>
    <t>CONDENSED CONSOLIDATED STATEMENT OF INCOME</t>
  </si>
  <si>
    <t>Three Months Ended</t>
  </si>
  <si>
    <t>March 31,</t>
  </si>
  <si>
    <t>IM Data</t>
  </si>
  <si>
    <t>GL Data</t>
  </si>
  <si>
    <t>(In thousands, except per</t>
  </si>
  <si>
    <t>share amounts)</t>
  </si>
  <si>
    <t>(Unaudited)</t>
  </si>
  <si>
    <t>Net revenues</t>
  </si>
  <si>
    <t>Cost of net revenues</t>
  </si>
  <si>
    <t>Gross profit</t>
  </si>
  <si>
    <t>Operating expenses:</t>
  </si>
  <si>
    <t>Sales and marketing</t>
  </si>
  <si>
    <t>Product development</t>
  </si>
  <si>
    <t>General and administrative</t>
  </si>
  <si>
    <t>Payroll tax on employee stock options</t>
  </si>
  <si>
    <t>Amortization of acquired intangible assets</t>
  </si>
  <si>
    <t>Total operating expenses</t>
  </si>
  <si>
    <t>Income from operations</t>
  </si>
  <si>
    <t>Interest and other income, net</t>
  </si>
  <si>
    <t>Interest expense</t>
  </si>
  <si>
    <t>Income before income taxes and minority interests</t>
  </si>
  <si>
    <t>Provision for income taxes</t>
  </si>
  <si>
    <t>Minority interests</t>
  </si>
  <si>
    <t>Net income</t>
  </si>
  <si>
    <t>Net income per share:</t>
  </si>
  <si>
    <t>Basic</t>
  </si>
  <si>
    <t>Diluted</t>
  </si>
  <si>
    <t>Weighted average shares:</t>
  </si>
  <si>
    <t>CASH_FLOW</t>
  </si>
  <si>
    <t>CONDENSED CONSOLIDATED STATEMENT OF CASH FLOWS</t>
  </si>
  <si>
    <t>December 31,</t>
  </si>
  <si>
    <t>(In thousands)</t>
  </si>
  <si>
    <t>Cash flows from operating activities:</t>
  </si>
  <si>
    <t>Plan</t>
  </si>
  <si>
    <t>Adjustments:</t>
  </si>
  <si>
    <t>Actual</t>
  </si>
  <si>
    <t>Provision for doubtful accounts and authorized</t>
  </si>
  <si>
    <t>Variance $ (Actual –- Plan)</t>
  </si>
  <si>
    <t>credits</t>
  </si>
  <si>
    <t>Variance %</t>
  </si>
  <si>
    <t>Provision for transaction losses</t>
  </si>
  <si>
    <t>Depreciation and amortization</t>
  </si>
  <si>
    <t>Amortization of unearned stock-based compensation</t>
  </si>
  <si>
    <t>Tax benefit on the exercise of employee stock options</t>
  </si>
  <si>
    <t>Changes in assets and liabilities, net of acquisition</t>
  </si>
  <si>
    <t>effects:</t>
  </si>
  <si>
    <t>Accounts receivable</t>
  </si>
  <si>
    <t>Funds receivable from customers</t>
  </si>
  <si>
    <t>Other current assets</t>
  </si>
  <si>
    <t>Other non-current assets</t>
  </si>
  <si>
    <t>Deferred tax liabilities, net</t>
  </si>
  <si>
    <t>Accounts payable</t>
  </si>
  <si>
    <t>Funds payable and amounts due to customers</t>
  </si>
  <si>
    <t>Accrued expenses and other liabilities</t>
  </si>
  <si>
    <t>Deferred revenue and customer advances</t>
  </si>
  <si>
    <t>Income taxes payable</t>
  </si>
  <si>
    <t>Net cash provided by operating activities</t>
  </si>
  <si>
    <t>Cash flows from investing activities:</t>
  </si>
  <si>
    <t>Purchases of property and equipment, net</t>
  </si>
  <si>
    <t>Purchases of investments</t>
  </si>
  <si>
    <t>Maturities and sales of investments</t>
  </si>
  <si>
    <t>Purchases of intangible and other non-current assets</t>
  </si>
  <si>
    <t>Acquisitions, net of cash acquired</t>
  </si>
  <si>
    <t>Net cash used in investing activities</t>
  </si>
  <si>
    <t>Cash flows from financing activities:</t>
  </si>
  <si>
    <t>Proceeds from issuance of common stock, net</t>
  </si>
  <si>
    <t>Payment of headquarters facility lease obligation</t>
  </si>
  <si>
    <t>Principal payments on long-term obligations</t>
  </si>
  <si>
    <t>Net cash provided by financing activities</t>
  </si>
  <si>
    <t>Effect of exchange rate changes on cash and cash</t>
  </si>
  <si>
    <t>equivalents</t>
  </si>
  <si>
    <t>Net increase (decrease) in cash and cash equivalents</t>
  </si>
  <si>
    <t>Cash and cash equivalents at beginning of period</t>
  </si>
  <si>
    <t>Cash and cash equivalents at end of period</t>
  </si>
  <si>
    <t>Property Value</t>
  </si>
  <si>
    <t>Commission</t>
  </si>
  <si>
    <t>Formula</t>
  </si>
  <si>
    <t>Description (Result)</t>
  </si>
  <si>
    <t>Sum of the commissions for property values over 160,000 (63,000)</t>
  </si>
  <si>
    <t>Sum of the property values over 160,000 (900,000)</t>
  </si>
  <si>
    <t>Sum of the commissions for property values equal to 300,000 (21,000)</t>
  </si>
  <si>
    <t>123-45-6789</t>
  </si>
  <si>
    <t>For the Quarter ending 12/31/2008</t>
  </si>
  <si>
    <t>ProductID</t>
  </si>
  <si>
    <t>ProductName</t>
  </si>
  <si>
    <t>SupplierID</t>
  </si>
  <si>
    <t>CategoryID</t>
  </si>
  <si>
    <t>QuantityPerUnit</t>
  </si>
  <si>
    <t>UnitPrice</t>
  </si>
  <si>
    <t>UnitsInStock</t>
  </si>
  <si>
    <t>UnitsOnOrder</t>
  </si>
  <si>
    <t>ReorderLevel</t>
  </si>
  <si>
    <t>Discontinued</t>
  </si>
  <si>
    <t>CategoryName</t>
  </si>
  <si>
    <t>Description</t>
  </si>
  <si>
    <t>Chai</t>
  </si>
  <si>
    <t>10 boxes x 20 bags</t>
  </si>
  <si>
    <t>Beverages</t>
  </si>
  <si>
    <t>Chang</t>
  </si>
  <si>
    <t>24 - 12 oz bottles</t>
  </si>
  <si>
    <t>Aniseed Syrup</t>
  </si>
  <si>
    <t>12 - 550 ml bottles</t>
  </si>
  <si>
    <t>Sweet and savory sauces, relishes, spreads, and seasonings</t>
  </si>
  <si>
    <t>Chef Anton's Cajun Seasoning</t>
  </si>
  <si>
    <t>48 - 6 oz jars</t>
  </si>
  <si>
    <t>Grandma's Boysenberry Spread</t>
  </si>
  <si>
    <t>12 - 8 oz jars</t>
  </si>
  <si>
    <t>Uncle Bob's Organic Dried Pears</t>
  </si>
  <si>
    <t>12 - 1 lb pkgs.</t>
  </si>
  <si>
    <t>Produce</t>
  </si>
  <si>
    <t>Dried fruit and bean curd</t>
  </si>
  <si>
    <t>Northwoods Cranberry Sauce</t>
  </si>
  <si>
    <t>12 - 12 oz jars</t>
  </si>
  <si>
    <t>Ikura</t>
  </si>
  <si>
    <t>12 - 200 ml jars</t>
  </si>
  <si>
    <t>Seafood</t>
  </si>
  <si>
    <t>Seaweed and fish</t>
  </si>
  <si>
    <t>Queso Cabrales</t>
  </si>
  <si>
    <t>1 kg pkg.</t>
  </si>
  <si>
    <t>Dairy Products</t>
  </si>
  <si>
    <t>Cheeses</t>
  </si>
  <si>
    <t>Queso Manchego La Pastora</t>
  </si>
  <si>
    <t>10 - 500 g pkgs.</t>
  </si>
  <si>
    <t>Konbu</t>
  </si>
  <si>
    <t>2 kg box</t>
  </si>
  <si>
    <t>Tofu</t>
  </si>
  <si>
    <t>40 - 100 g pkgs.</t>
  </si>
  <si>
    <t>Genen Shouyu</t>
  </si>
  <si>
    <t>24 - 250 ml bottles</t>
  </si>
  <si>
    <t>Pavlova</t>
  </si>
  <si>
    <t>32 - 500 g boxes</t>
  </si>
  <si>
    <t>Confections</t>
  </si>
  <si>
    <t>Desserts, candies, and sweet breads</t>
  </si>
  <si>
    <t>Carnarvon Tigers</t>
  </si>
  <si>
    <t>16 kg pkg.</t>
  </si>
  <si>
    <t>Teatime Chocolate Biscuits</t>
  </si>
  <si>
    <t>10 boxes x 12 pieces</t>
  </si>
  <si>
    <t>Sir Rodney's Marmalade</t>
  </si>
  <si>
    <t>30 gift boxes</t>
  </si>
  <si>
    <t>Sir Rodney's Scones</t>
  </si>
  <si>
    <t>24 pkgs. x 4 pieces</t>
  </si>
  <si>
    <t>Gustaf's Knäckebröd</t>
  </si>
  <si>
    <t>24 - 500 g pkgs.</t>
  </si>
  <si>
    <t>Grains/Cereals</t>
  </si>
  <si>
    <t>Breads, crackers, pasta, and cereal</t>
  </si>
  <si>
    <t>Tunnbröd</t>
  </si>
  <si>
    <t>12 - 250 g pkgs.</t>
  </si>
  <si>
    <t>NuNuCa Nuß-Nougat-Creme</t>
  </si>
  <si>
    <t>20 - 450 g glasses</t>
  </si>
  <si>
    <t>Gumbär Gummibärchen</t>
  </si>
  <si>
    <t>100 - 250 g bags</t>
  </si>
  <si>
    <t>Schoggi Schokolade</t>
  </si>
  <si>
    <t>100 - 100 g pieces</t>
  </si>
  <si>
    <t>Nord-Ost Matjeshering</t>
  </si>
  <si>
    <t>10 - 200 g glasses</t>
  </si>
  <si>
    <t>Gorgonzola Telino</t>
  </si>
  <si>
    <t>12 - 100 g pkgs</t>
  </si>
  <si>
    <t>Mascarpone Fabioli</t>
  </si>
  <si>
    <t>24 - 200 g pkgs.</t>
  </si>
  <si>
    <t>Geitost</t>
  </si>
  <si>
    <t>500 g</t>
  </si>
  <si>
    <t>Sasquatch Ale</t>
  </si>
  <si>
    <t>Steeleye Stout</t>
  </si>
  <si>
    <t>Inlagd Sill</t>
  </si>
  <si>
    <t>24 - 250 g  jars</t>
  </si>
  <si>
    <t>Gravad lax</t>
  </si>
  <si>
    <t>12 - 500 g pkgs.</t>
  </si>
  <si>
    <t>Côte de Blaye</t>
  </si>
  <si>
    <t>12 - 75 cl bottles</t>
  </si>
  <si>
    <t>Chartreuse verte</t>
  </si>
  <si>
    <t>750 cc per bottle</t>
  </si>
  <si>
    <t>Boston Crab Meat</t>
  </si>
  <si>
    <t>24 - 4 oz tins</t>
  </si>
  <si>
    <t>Jack's New England Clam Chowder</t>
  </si>
  <si>
    <t>12 - 12 oz cans</t>
  </si>
  <si>
    <t>Ipoh Coffee</t>
  </si>
  <si>
    <t>16 - 500 g tins</t>
  </si>
  <si>
    <t>Gula Malacca</t>
  </si>
  <si>
    <t>20 - 2 kg bags</t>
  </si>
  <si>
    <t>Røgede sild</t>
  </si>
  <si>
    <t>1k pkg.</t>
  </si>
  <si>
    <t>Spegesild</t>
  </si>
  <si>
    <t>4 - 450 g glasses</t>
  </si>
  <si>
    <t>Zaanse koeken</t>
  </si>
  <si>
    <t>10 - 4 oz boxes</t>
  </si>
  <si>
    <t>Chocolade</t>
  </si>
  <si>
    <t>10 pkgs.</t>
  </si>
  <si>
    <t>Maxilaku</t>
  </si>
  <si>
    <t>24 - 50 g pkgs.</t>
  </si>
  <si>
    <t>Valkoinen suklaa</t>
  </si>
  <si>
    <t>12 - 100 g bars</t>
  </si>
  <si>
    <t>Manjimup Dried Apples</t>
  </si>
  <si>
    <t>50 - 300 g pkgs.</t>
  </si>
  <si>
    <t>Filo Mix</t>
  </si>
  <si>
    <t>16 - 2 kg boxes</t>
  </si>
  <si>
    <t>Tourtière</t>
  </si>
  <si>
    <t>16 pies</t>
  </si>
  <si>
    <t>Meat/Poultry</t>
  </si>
  <si>
    <t>Prepared meats</t>
  </si>
  <si>
    <t>Pâté chinois</t>
  </si>
  <si>
    <t>24 boxes x 2 pies</t>
  </si>
  <si>
    <t>Gnocchi di nonna Alice</t>
  </si>
  <si>
    <t>24 - 250 g pkgs.</t>
  </si>
  <si>
    <t>Ravioli Angelo</t>
  </si>
  <si>
    <t>Escargots de Bourgogne</t>
  </si>
  <si>
    <t>24 pieces</t>
  </si>
  <si>
    <t>Raclette Courdavault</t>
  </si>
  <si>
    <t>5 kg pkg.</t>
  </si>
  <si>
    <t>Camembert Pierrot</t>
  </si>
  <si>
    <t>15 - 300 g rounds</t>
  </si>
  <si>
    <t>Sirop d'érable</t>
  </si>
  <si>
    <t>24 - 500 ml bottles</t>
  </si>
  <si>
    <t>Tarte au sucre</t>
  </si>
  <si>
    <t>48 pies</t>
  </si>
  <si>
    <t>Vegie-spread</t>
  </si>
  <si>
    <t>15 - 625 g jars</t>
  </si>
  <si>
    <t>Wimmers gute Semmelknödel</t>
  </si>
  <si>
    <t>20 bags x 4 pieces</t>
  </si>
  <si>
    <t>Louisiana Fiery Hot Pepper Sauce</t>
  </si>
  <si>
    <t>32 - 8 oz bottles</t>
  </si>
  <si>
    <t>Louisiana Hot Spiced Okra</t>
  </si>
  <si>
    <t>24 - 8 oz jars</t>
  </si>
  <si>
    <t>Laughing Lumberjack Lager</t>
  </si>
  <si>
    <t>Scottish Longbreads</t>
  </si>
  <si>
    <t>10 boxes x 8 pieces</t>
  </si>
  <si>
    <t>Gudbrandsdalsost</t>
  </si>
  <si>
    <t>10 kg pkg.</t>
  </si>
  <si>
    <t>Outback Lager</t>
  </si>
  <si>
    <t>24 - 355 ml bottles</t>
  </si>
  <si>
    <t>Fløtemysost</t>
  </si>
  <si>
    <t>Mozzarella di Giovanni</t>
  </si>
  <si>
    <t>Röd Kaviar</t>
  </si>
  <si>
    <t>24 - 150 g jars</t>
  </si>
  <si>
    <t>Longlife Tofu</t>
  </si>
  <si>
    <t>Rhönbräu Klosterbier</t>
  </si>
  <si>
    <t>24 - 0.5 l bottles</t>
  </si>
  <si>
    <t>Lakkalikööri</t>
  </si>
  <si>
    <t>500 ml</t>
  </si>
  <si>
    <t>Original Frankfurter grüne Soße</t>
  </si>
  <si>
    <t>12 boxes</t>
  </si>
  <si>
    <t>US/Euro rate</t>
  </si>
  <si>
    <t xml:space="preserve"> American Dollar</t>
  </si>
  <si>
    <t>click on values to see graphs</t>
  </si>
  <si>
    <t xml:space="preserve"> 1 USD </t>
  </si>
  <si>
    <t xml:space="preserve"> in USD </t>
  </si>
  <si>
    <t xml:space="preserve">  Argentine Peso  </t>
  </si>
  <si>
    <t xml:space="preserve">  Australian Dollar  </t>
  </si>
  <si>
    <t xml:space="preserve">  Botswana Pula  </t>
  </si>
  <si>
    <t xml:space="preserve">  Brazilian Real  </t>
  </si>
  <si>
    <t xml:space="preserve">  British Pound  </t>
  </si>
  <si>
    <t xml:space="preserve">  Brunei dollar  </t>
  </si>
  <si>
    <t xml:space="preserve">  Bulgarian Lev  </t>
  </si>
  <si>
    <t xml:space="preserve">  Canadian Dollar  </t>
  </si>
  <si>
    <t xml:space="preserve">  Chilean Peso  </t>
  </si>
  <si>
    <t xml:space="preserve">  Chinese Yuan  </t>
  </si>
  <si>
    <t xml:space="preserve">  Colombian Peso  </t>
  </si>
  <si>
    <t xml:space="preserve">  Croatian Kuna  </t>
  </si>
  <si>
    <t xml:space="preserve">  Danish Krone  </t>
  </si>
  <si>
    <t xml:space="preserve">  Estonian Kroon  </t>
  </si>
  <si>
    <t xml:space="preserve">  Euro  </t>
  </si>
  <si>
    <t xml:space="preserve">  Hong Kong Dollar  </t>
  </si>
  <si>
    <t xml:space="preserve">  Hungarian Forint  </t>
  </si>
  <si>
    <t xml:space="preserve">  Iceland Krona  </t>
  </si>
  <si>
    <t xml:space="preserve">  Indian Rupee  </t>
  </si>
  <si>
    <t xml:space="preserve">  Israeli New Shekel  </t>
  </si>
  <si>
    <t xml:space="preserve">  Japanese Yen  </t>
  </si>
  <si>
    <t xml:space="preserve">  Kazakhstani Tenge  </t>
  </si>
  <si>
    <t xml:space="preserve">  Kuwaiti Dinar  </t>
  </si>
  <si>
    <t xml:space="preserve">  Latvian Lat  </t>
  </si>
  <si>
    <t xml:space="preserve">  Libyan Dinar  </t>
  </si>
  <si>
    <t xml:space="preserve">  Lithuanian Litas  </t>
  </si>
  <si>
    <t xml:space="preserve">  Malaysian Ringgit  </t>
  </si>
  <si>
    <t xml:space="preserve">  Maltese Lira  </t>
  </si>
  <si>
    <t xml:space="preserve">  Mauritius Rupee  </t>
  </si>
  <si>
    <t xml:space="preserve">  Mexican Peso  </t>
  </si>
  <si>
    <t xml:space="preserve">  Nepalese Rupee  </t>
  </si>
  <si>
    <t xml:space="preserve">  New Zealand Dollar  </t>
  </si>
  <si>
    <t xml:space="preserve">  Norwegian Kroner  </t>
  </si>
  <si>
    <t xml:space="preserve">  Omani Rial  </t>
  </si>
  <si>
    <t xml:space="preserve">  Pakistan Rupee  </t>
  </si>
  <si>
    <t xml:space="preserve">  Qatari Rial  </t>
  </si>
  <si>
    <t xml:space="preserve">  Romanian Leu  </t>
  </si>
  <si>
    <t xml:space="preserve">  Russian Ruble  </t>
  </si>
  <si>
    <t xml:space="preserve">  Saudi Riyal  </t>
  </si>
  <si>
    <t xml:space="preserve">  Singapore Dollar  </t>
  </si>
  <si>
    <t xml:space="preserve">  South African Rand  </t>
  </si>
  <si>
    <t xml:space="preserve">  South Korean Won  </t>
  </si>
  <si>
    <t xml:space="preserve">  Sri Lanka Rupee  </t>
  </si>
  <si>
    <t xml:space="preserve">  Swedish Krona  </t>
  </si>
  <si>
    <t xml:space="preserve">  Swiss Franc  </t>
  </si>
  <si>
    <t xml:space="preserve">  Taiwan Dollar  </t>
  </si>
  <si>
    <t xml:space="preserve">  Thai Baht  </t>
  </si>
  <si>
    <t xml:space="preserve">  Trinidad/Tobago Dollar  </t>
  </si>
  <si>
    <t xml:space="preserve">  Turkish Lira  </t>
  </si>
  <si>
    <t xml:space="preserve">  Venezuelan Bolivar  </t>
  </si>
  <si>
    <t>using values from Friday, July 24, 2009</t>
  </si>
  <si>
    <t>click on values to see the historical graphs.</t>
  </si>
  <si>
    <t xml:space="preserve"> Download this data to Excel</t>
  </si>
  <si>
    <t xml:space="preserve">  Iranian Rial  </t>
  </si>
  <si>
    <t>using values from Monday, July 27, 2009</t>
  </si>
  <si>
    <t>Last Reviewed:</t>
  </si>
  <si>
    <t>b36ae85b-d844-40fa-b202-4369d023b704</t>
  </si>
  <si>
    <t>Reviewed By:</t>
  </si>
  <si>
    <t>85718761-7bef-448d-884e-3079d0202fd8</t>
  </si>
  <si>
    <t>Spreadsheet Documentation</t>
  </si>
  <si>
    <t>Filename</t>
  </si>
  <si>
    <t>f16fdc47-fdc4-436b-8d83-6335674f9e07</t>
  </si>
  <si>
    <t>Statement.xls</t>
  </si>
  <si>
    <t>Location</t>
  </si>
  <si>
    <t>ad9d2525-9f00-418c-b272-aadbbb56f067</t>
  </si>
  <si>
    <t>General Ledger Corp</t>
  </si>
  <si>
    <t>45fb2810-0385-4615-a210-23ba130398a1</t>
  </si>
  <si>
    <t>Parent Corp.</t>
  </si>
  <si>
    <t>General Ledger Account Number</t>
  </si>
  <si>
    <t>a301d514-c79b-4a1d-bea1-062e57041a4f</t>
  </si>
  <si>
    <t>Financial Reporting Disclosure</t>
  </si>
  <si>
    <t>953e6a6c-1514-438f-b90a-9593b323daca</t>
  </si>
  <si>
    <t>Yes</t>
  </si>
  <si>
    <t>Regulatory Reporting Disclosure</t>
  </si>
  <si>
    <t>30c4b7dd-6b19-4859-90bd-848728ece606</t>
  </si>
  <si>
    <t>Type: Financial/Analytical/Ops</t>
  </si>
  <si>
    <t>9cd32c0a-d187-461d-96a9-82797aa1c24a</t>
  </si>
  <si>
    <t>Financial</t>
  </si>
  <si>
    <t>Spreadsheet Owner</t>
  </si>
  <si>
    <t>545c6405-66b2-405a-8946-c0d1e995c2d3</t>
  </si>
  <si>
    <t>Department</t>
  </si>
  <si>
    <t>c2be25e6-cf35-4e81-b195-224b59f12e76</t>
  </si>
  <si>
    <t>Financial Control</t>
  </si>
  <si>
    <t>Other Spreadsheet Users/Depts</t>
  </si>
  <si>
    <t>fe36f867-1b9d-482f-b09b-e119e97e5d12</t>
  </si>
  <si>
    <t>Finance</t>
  </si>
  <si>
    <t>Risk:  H/M/L</t>
  </si>
  <si>
    <t>08d6e537-9062-4403-919e-027293ef2271</t>
  </si>
  <si>
    <t>High</t>
  </si>
  <si>
    <t>Frequency of Use</t>
  </si>
  <si>
    <t>58beb1ba-b1fe-4c43-af0f-8b535941b61f</t>
  </si>
  <si>
    <t>Monthly</t>
  </si>
  <si>
    <t>Spreadsheet Purpose</t>
  </si>
  <si>
    <t>d1b6480f-8b6a-4eec-9037-589e770e2be9</t>
  </si>
  <si>
    <t>Describe Unique Calculations</t>
  </si>
  <si>
    <t>ec3fd8a5-9718-4ec0-a641-e40e15915d43</t>
  </si>
  <si>
    <t>no special calculations used</t>
  </si>
  <si>
    <t>Data Input Sources</t>
  </si>
  <si>
    <t>Source #1</t>
  </si>
  <si>
    <t>Report Name/Number/Title</t>
  </si>
  <si>
    <t>Received From (Source)</t>
  </si>
  <si>
    <t>Manual Input of Automated</t>
  </si>
  <si>
    <t>Type of Information</t>
  </si>
  <si>
    <t>Link Reviewed By:</t>
  </si>
  <si>
    <t>Source #2</t>
  </si>
  <si>
    <t>Pleasanton, CA</t>
  </si>
  <si>
    <t>Adam Daniels</t>
  </si>
  <si>
    <t>Corp-00154</t>
  </si>
  <si>
    <t>Profit and loss statement consolidation</t>
  </si>
  <si>
    <t>R. Winston</t>
  </si>
  <si>
    <t>Adventureworks</t>
  </si>
  <si>
    <t>Product/Service 1a</t>
  </si>
  <si>
    <t>Soft drinks, coffees, teas, beers, and alesss</t>
  </si>
  <si>
    <t>Condiments1</t>
  </si>
  <si>
    <t>21000</t>
  </si>
  <si>
    <t>Cost of Sales</t>
  </si>
  <si>
    <t>Summary</t>
  </si>
  <si>
    <t>Prior</t>
  </si>
  <si>
    <t>Current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</si>
</sst>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6" formatCode="&quot;$&quot;#,##0_);[Red]\(&quot;$&quot;#,##0\)"/>
    <numFmt numFmtId="164" formatCode="&quot;£&quot;#,##0;[Red]\-&quot;£&quot;#,##0"/>
    <numFmt numFmtId="165" formatCode="_-&quot;£&quot;* #,##0_-;\-&quot;£&quot;* #,##0_-;_-&quot;£&quot;* &quot;-&quot;_-;_-@_-"/>
    <numFmt numFmtId="166" formatCode="_-&quot;£&quot;* #,##0.00_-;\-&quot;£&quot;* #,##0.00_-;_-&quot;£&quot;* &quot;-&quot;??_-;_-@_-"/>
    <numFmt numFmtId="167" formatCode="_-* #,##0.00_-;\-* #,##0.00_-;_-* &quot;-&quot;??_-;_-@_-"/>
    <numFmt numFmtId="168" formatCode="0.0000000"/>
  </numFmts>
  <fonts count="22" x14ac:knownFonts="1">
    <font>
      <sz val="11"/>
      <color theme="1"/>
      <name val="Trebuchet MS"/>
      <family val="2"/>
      <scheme val="minor"/>
    </font>
    <font>
      <sz val="10"/>
      <name val="Arial"/>
      <family val="2"/>
    </font>
    <font>
      <sz val="8"/>
      <name val="Calibri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.25"/>
      <name val="Microsoft Sans Serif"/>
      <family val="2"/>
    </font>
    <font>
      <sz val="10"/>
      <name val="Arial"/>
      <family val="2"/>
    </font>
    <font>
      <b/>
      <sz val="11"/>
      <name val="Arial Narrow"/>
      <family val="2"/>
    </font>
    <font>
      <sz val="10"/>
      <name val="Arial Narrow"/>
      <family val="2"/>
    </font>
    <font>
      <sz val="8.25"/>
      <color rgb="FFFFFFFF"/>
      <name val="Microsoft Sans Serif"/>
      <family val="2"/>
    </font>
    <font>
      <sz val="8.25"/>
      <color rgb="FF000000"/>
      <name val="Microsoft Sans Serif"/>
      <family val="2"/>
    </font>
    <font>
      <b/>
      <sz val="9"/>
      <color theme="3"/>
      <name val="Microsoft Sans Serif"/>
      <family val="2"/>
    </font>
    <font>
      <sz val="8.25"/>
      <color theme="0"/>
      <name val="Microsoft Sans Serif"/>
      <family val="2"/>
    </font>
    <font>
      <sz val="11"/>
      <color rgb="FF000000"/>
      <name val="Calibri"/>
      <family val="2"/>
    </font>
    <font>
      <b/>
      <u/>
      <sz val="8.25"/>
      <color rgb="FFFF0000"/>
      <name val="Microsoft Sans Serif"/>
      <family val="2"/>
    </font>
    <font>
      <b/>
      <i/>
      <sz val="8.25"/>
      <color rgb="FFFF0000"/>
      <name val="Microsoft Sans Serif"/>
      <family val="2"/>
    </font>
    <font>
      <sz val="8.25"/>
      <color theme="4"/>
      <name val="Microsoft Sans Serif"/>
      <family val="2"/>
    </font>
    <font>
      <sz val="18"/>
      <color theme="3"/>
      <name val="Trebuchet MS"/>
      <family val="2"/>
      <scheme val="major"/>
    </font>
    <font>
      <b/>
      <sz val="15"/>
      <color theme="3"/>
      <name val="Trebuchet MS"/>
      <family val="2"/>
      <scheme val="minor"/>
    </font>
    <font>
      <b/>
      <sz val="11"/>
      <color theme="3"/>
      <name val="Trebuchet MS"/>
      <family val="2"/>
      <scheme val="minor"/>
    </font>
    <font>
      <b/>
      <sz val="9"/>
      <color theme="4" tint="0.59999389629810485"/>
      <name val="Microsoft Sans Serif"/>
      <family val="2"/>
    </font>
    <font>
      <sz val="8.25"/>
      <color theme="4" tint="0.59999389629810485"/>
      <name val="Microsoft Sans Serif"/>
      <family val="2"/>
    </font>
  </fonts>
  <fills count="12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33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theme="4" tint="0.39997558519241921"/>
      </top>
      <bottom style="thick">
        <color theme="0"/>
      </bottom>
      <diagonal/>
    </border>
    <border>
      <left style="thin">
        <color theme="0"/>
      </left>
      <right/>
      <top style="medium">
        <color theme="4" tint="0.39997558519241921"/>
      </top>
      <bottom style="thick">
        <color theme="0"/>
      </bottom>
      <diagonal/>
    </border>
  </borders>
  <cellStyleXfs count="8">
    <xf numFmtId="0" fontId="0" fillId="0" borderId="0"/>
    <xf numFmtId="0" fontId="1" fillId="0" borderId="0"/>
    <xf numFmtId="0" fontId="1" fillId="0" borderId="0"/>
    <xf numFmtId="0" fontId="6" fillId="0" borderId="0"/>
    <xf numFmtId="0" fontId="1" fillId="0" borderId="0">
      <alignment vertical="top"/>
    </xf>
    <xf numFmtId="0" fontId="17" fillId="0" borderId="0" applyNumberFormat="0" applyFill="0" applyBorder="0" applyAlignment="0" applyProtection="0"/>
    <xf numFmtId="0" fontId="18" fillId="0" borderId="2" applyNumberFormat="0" applyFill="0" applyAlignment="0" applyProtection="0"/>
    <xf numFmtId="0" fontId="19" fillId="0" borderId="3" applyNumberFormat="0" applyFill="0" applyAlignment="0" applyProtection="0"/>
  </cellStyleXfs>
  <cellXfs count="73">
    <xf numFmtId="0" fontId="0" fillId="0" borderId="0" xfId="0"/>
    <xf numFmtId="14" fontId="9" fillId="3" borderId="0" xfId="2" applyNumberFormat="1" applyFont="1" applyFill="1" applyBorder="1" applyAlignment="1" applyProtection="1">
      <alignment horizontal="center"/>
    </xf>
    <xf numFmtId="0" fontId="0" fillId="0" borderId="0" xfId="0" applyProtection="1"/>
    <xf numFmtId="165" fontId="10" fillId="4" borderId="0" xfId="4" applyNumberFormat="1" applyFont="1" applyFill="1" applyBorder="1" applyProtection="1">
      <alignment vertical="top"/>
    </xf>
    <xf numFmtId="164" fontId="10" fillId="5" borderId="0" xfId="4" applyNumberFormat="1" applyFont="1" applyFill="1" applyBorder="1" applyProtection="1">
      <alignment vertical="top"/>
    </xf>
    <xf numFmtId="49" fontId="10" fillId="5" borderId="0" xfId="4" applyNumberFormat="1" applyFont="1" applyFill="1" applyBorder="1" applyAlignment="1" applyProtection="1">
      <alignment horizontal="right" vertical="top"/>
    </xf>
    <xf numFmtId="49" fontId="9" fillId="6" borderId="0" xfId="4" applyNumberFormat="1" applyFont="1" applyFill="1" applyBorder="1" applyProtection="1">
      <alignment vertical="top"/>
    </xf>
    <xf numFmtId="37" fontId="10" fillId="7" borderId="0" xfId="4" applyNumberFormat="1" applyFont="1" applyFill="1" applyBorder="1" applyProtection="1">
      <alignment vertical="top"/>
    </xf>
    <xf numFmtId="37" fontId="10" fillId="4" borderId="0" xfId="4" applyNumberFormat="1" applyFont="1" applyFill="1" applyBorder="1" applyProtection="1">
      <alignment vertical="top"/>
    </xf>
    <xf numFmtId="167" fontId="10" fillId="4" borderId="0" xfId="4" applyNumberFormat="1" applyFont="1" applyFill="1" applyBorder="1" applyProtection="1">
      <alignment vertical="top"/>
    </xf>
    <xf numFmtId="0" fontId="10" fillId="4" borderId="0" xfId="4" applyFont="1" applyFill="1" applyBorder="1" applyAlignment="1" applyProtection="1">
      <alignment horizontal="center" vertical="top"/>
    </xf>
    <xf numFmtId="0" fontId="10" fillId="4" borderId="0" xfId="4" applyFont="1" applyFill="1" applyBorder="1" applyAlignment="1" applyProtection="1">
      <alignment horizontal="right" vertical="top"/>
    </xf>
    <xf numFmtId="165" fontId="10" fillId="5" borderId="0" xfId="4" applyNumberFormat="1" applyFont="1" applyFill="1" applyBorder="1" applyProtection="1">
      <alignment vertical="top"/>
    </xf>
    <xf numFmtId="165" fontId="9" fillId="6" borderId="0" xfId="4" applyNumberFormat="1" applyFont="1" applyFill="1" applyBorder="1" applyProtection="1">
      <alignment vertical="top"/>
    </xf>
    <xf numFmtId="165" fontId="10" fillId="7" borderId="0" xfId="4" applyNumberFormat="1" applyFont="1" applyFill="1" applyBorder="1" applyProtection="1">
      <alignment vertical="top"/>
    </xf>
    <xf numFmtId="37" fontId="9" fillId="3" borderId="0" xfId="4" applyNumberFormat="1" applyFont="1" applyFill="1" applyBorder="1" applyProtection="1">
      <alignment vertical="top"/>
    </xf>
    <xf numFmtId="0" fontId="10" fillId="8" borderId="0" xfId="4" applyFont="1" applyFill="1" applyBorder="1" applyProtection="1">
      <alignment vertical="top"/>
    </xf>
    <xf numFmtId="166" fontId="10" fillId="7" borderId="0" xfId="4" applyNumberFormat="1" applyFont="1" applyFill="1" applyBorder="1" applyProtection="1">
      <alignment vertical="top"/>
    </xf>
    <xf numFmtId="0" fontId="10" fillId="4" borderId="0" xfId="0" applyFont="1" applyFill="1" applyBorder="1" applyProtection="1"/>
    <xf numFmtId="37" fontId="9" fillId="3" borderId="0" xfId="0" applyNumberFormat="1" applyFont="1" applyFill="1" applyBorder="1" applyProtection="1"/>
    <xf numFmtId="0" fontId="10" fillId="4" borderId="0" xfId="0" applyFont="1" applyFill="1" applyBorder="1" applyAlignment="1" applyProtection="1">
      <alignment horizontal="left" wrapText="1"/>
    </xf>
    <xf numFmtId="3" fontId="10" fillId="7" borderId="0" xfId="0" applyNumberFormat="1" applyFont="1" applyFill="1" applyBorder="1" applyAlignment="1" applyProtection="1">
      <alignment horizontal="left" vertical="top" wrapText="1"/>
    </xf>
    <xf numFmtId="0" fontId="9" fillId="3" borderId="0" xfId="0" applyFont="1" applyFill="1" applyBorder="1" applyAlignment="1" applyProtection="1">
      <alignment horizontal="left" vertical="top" wrapText="1"/>
    </xf>
    <xf numFmtId="0" fontId="10" fillId="4" borderId="0" xfId="0" applyFont="1" applyFill="1" applyBorder="1" applyAlignment="1" applyProtection="1">
      <alignment horizontal="left" vertical="top" wrapText="1"/>
    </xf>
    <xf numFmtId="0" fontId="10" fillId="4" borderId="0" xfId="2" applyFont="1" applyFill="1" applyBorder="1" applyProtection="1"/>
    <xf numFmtId="2" fontId="10" fillId="4" borderId="0" xfId="2" applyNumberFormat="1" applyFont="1" applyFill="1" applyBorder="1" applyProtection="1"/>
    <xf numFmtId="0" fontId="10" fillId="4" borderId="0" xfId="2" applyFont="1" applyFill="1" applyBorder="1" applyAlignment="1" applyProtection="1">
      <alignment horizontal="center"/>
    </xf>
    <xf numFmtId="2" fontId="10" fillId="7" borderId="0" xfId="2" applyNumberFormat="1" applyFont="1" applyFill="1" applyBorder="1" applyProtection="1"/>
    <xf numFmtId="0" fontId="6" fillId="0" borderId="1" xfId="3" applyBorder="1" applyAlignment="1" applyProtection="1">
      <alignment horizontal="right"/>
    </xf>
    <xf numFmtId="0" fontId="6" fillId="0" borderId="0" xfId="3" applyProtection="1"/>
    <xf numFmtId="0" fontId="6" fillId="0" borderId="1" xfId="3" applyBorder="1" applyProtection="1"/>
    <xf numFmtId="0" fontId="7" fillId="0" borderId="0" xfId="3" applyFont="1" applyProtection="1"/>
    <xf numFmtId="0" fontId="8" fillId="0" borderId="1" xfId="3" applyFont="1" applyBorder="1" applyProtection="1"/>
    <xf numFmtId="0" fontId="1" fillId="0" borderId="1" xfId="3" applyFont="1" applyBorder="1" applyProtection="1"/>
    <xf numFmtId="0" fontId="6" fillId="0" borderId="1" xfId="3" applyBorder="1" applyAlignment="1" applyProtection="1">
      <alignment wrapText="1"/>
    </xf>
    <xf numFmtId="0" fontId="1" fillId="2" borderId="1" xfId="3" applyFont="1" applyFill="1" applyBorder="1" applyAlignment="1" applyProtection="1">
      <alignment horizontal="center"/>
    </xf>
    <xf numFmtId="0" fontId="8" fillId="0" borderId="1" xfId="3" applyFont="1" applyFill="1" applyBorder="1" applyAlignment="1" applyProtection="1">
      <alignment horizontal="right"/>
    </xf>
    <xf numFmtId="14" fontId="6" fillId="0" borderId="1" xfId="3" applyNumberFormat="1" applyBorder="1" applyAlignment="1" applyProtection="1">
      <alignment horizontal="left"/>
    </xf>
    <xf numFmtId="0" fontId="5" fillId="0" borderId="0" xfId="0" applyFont="1" applyFill="1" applyBorder="1" applyProtection="1"/>
    <xf numFmtId="0" fontId="11" fillId="0" borderId="0" xfId="0" applyFont="1" applyFill="1" applyBorder="1" applyAlignment="1" applyProtection="1">
      <alignment horizontal="right"/>
    </xf>
    <xf numFmtId="2" fontId="5" fillId="0" borderId="0" xfId="0" applyNumberFormat="1" applyFont="1" applyFill="1" applyBorder="1" applyProtection="1"/>
    <xf numFmtId="0" fontId="11" fillId="0" borderId="0" xfId="0" applyFont="1" applyFill="1" applyBorder="1" applyProtection="1"/>
    <xf numFmtId="0" fontId="11" fillId="0" borderId="0" xfId="0" applyFont="1" applyFill="1" applyBorder="1" applyAlignment="1" applyProtection="1">
      <alignment horizontal="center" wrapText="1"/>
    </xf>
    <xf numFmtId="0" fontId="11" fillId="0" borderId="0" xfId="0" applyFont="1" applyFill="1" applyBorder="1" applyAlignment="1" applyProtection="1">
      <alignment horizontal="center" vertical="center" wrapText="1"/>
    </xf>
    <xf numFmtId="0" fontId="5" fillId="0" borderId="0" xfId="0" applyFont="1" applyFill="1" applyBorder="1" applyAlignment="1" applyProtection="1">
      <alignment horizontal="right"/>
    </xf>
    <xf numFmtId="168" fontId="5" fillId="0" borderId="0" xfId="0" applyNumberFormat="1" applyFont="1" applyFill="1" applyBorder="1" applyProtection="1"/>
    <xf numFmtId="49" fontId="5" fillId="0" borderId="0" xfId="0" applyNumberFormat="1" applyFont="1" applyFill="1" applyBorder="1" applyAlignment="1" applyProtection="1">
      <alignment horizontal="right"/>
    </xf>
    <xf numFmtId="2" fontId="5" fillId="0" borderId="0" xfId="0" applyNumberFormat="1" applyFont="1" applyFill="1" applyBorder="1" applyAlignment="1" applyProtection="1">
      <alignment horizontal="right"/>
    </xf>
    <xf numFmtId="0" fontId="0" fillId="0" borderId="0" xfId="0" applyFill="1" applyBorder="1" applyProtection="1"/>
    <xf numFmtId="0" fontId="10" fillId="4" borderId="0" xfId="4" applyFont="1" applyFill="1" applyBorder="1" applyProtection="1">
      <alignment vertical="top"/>
    </xf>
    <xf numFmtId="0" fontId="14" fillId="0" borderId="0" xfId="0" applyFont="1" applyFill="1" applyBorder="1" applyProtection="1"/>
    <xf numFmtId="0" fontId="10" fillId="0" borderId="0" xfId="2" applyFont="1" applyFill="1" applyBorder="1" applyProtection="1"/>
    <xf numFmtId="0" fontId="12" fillId="0" borderId="0" xfId="2" applyFont="1" applyFill="1" applyBorder="1" applyProtection="1"/>
    <xf numFmtId="0" fontId="5" fillId="0" borderId="0" xfId="0" quotePrefix="1" applyFont="1" applyFill="1" applyBorder="1" applyProtection="1"/>
    <xf numFmtId="6" fontId="10" fillId="4" borderId="0" xfId="4" applyNumberFormat="1" applyFont="1" applyFill="1" applyBorder="1" applyProtection="1">
      <alignment vertical="top"/>
    </xf>
    <xf numFmtId="0" fontId="15" fillId="0" borderId="0" xfId="0" applyFont="1" applyFill="1" applyBorder="1" applyProtection="1">
      <protection locked="0" hidden="1"/>
    </xf>
    <xf numFmtId="2" fontId="16" fillId="9" borderId="0" xfId="0" applyNumberFormat="1" applyFont="1" applyFill="1" applyBorder="1" applyAlignment="1" applyProtection="1">
      <alignment horizontal="right"/>
      <protection locked="0"/>
    </xf>
    <xf numFmtId="0" fontId="16" fillId="9" borderId="0" xfId="0" applyFont="1" applyFill="1" applyBorder="1" applyProtection="1">
      <protection locked="0"/>
    </xf>
    <xf numFmtId="0" fontId="5" fillId="11" borderId="4" xfId="0" applyFont="1" applyFill="1" applyBorder="1"/>
    <xf numFmtId="0" fontId="19" fillId="0" borderId="0" xfId="7" applyFill="1" applyBorder="1" applyAlignment="1" applyProtection="1">
      <alignment horizontal="right"/>
    </xf>
    <xf numFmtId="0" fontId="19" fillId="0" borderId="0" xfId="7" applyFill="1" applyBorder="1" applyProtection="1"/>
    <xf numFmtId="0" fontId="11" fillId="10" borderId="5" xfId="0" applyFont="1" applyFill="1" applyBorder="1" applyAlignment="1">
      <alignment horizontal="center" wrapText="1"/>
    </xf>
    <xf numFmtId="0" fontId="11" fillId="10" borderId="5" xfId="0" applyFont="1" applyFill="1" applyBorder="1" applyAlignment="1">
      <alignment horizontal="center" vertical="center" wrapText="1"/>
    </xf>
    <xf numFmtId="0" fontId="11" fillId="10" borderId="6" xfId="0" applyFont="1" applyFill="1" applyBorder="1" applyAlignment="1">
      <alignment horizontal="center" wrapText="1"/>
    </xf>
    <xf numFmtId="0" fontId="20" fillId="0" borderId="0" xfId="0" applyFont="1" applyFill="1" applyBorder="1" applyAlignment="1" applyProtection="1">
      <alignment horizontal="right"/>
    </xf>
    <xf numFmtId="0" fontId="21" fillId="0" borderId="0" xfId="0" applyFont="1" applyFill="1" applyBorder="1" applyProtection="1"/>
    <xf numFmtId="0" fontId="5" fillId="0" borderId="0" xfId="0" applyFont="1" applyFill="1" applyProtection="1"/>
    <xf numFmtId="0" fontId="18" fillId="0" borderId="2" xfId="6" applyFill="1" applyProtection="1"/>
    <xf numFmtId="0" fontId="17" fillId="0" borderId="0" xfId="5" applyFill="1" applyBorder="1" applyProtection="1"/>
    <xf numFmtId="0" fontId="12" fillId="0" borderId="0" xfId="0" applyFont="1" applyFill="1" applyBorder="1" applyProtection="1"/>
    <xf numFmtId="0" fontId="10" fillId="4" borderId="0" xfId="4" applyFont="1" applyFill="1" applyBorder="1" applyAlignment="1" applyProtection="1">
      <alignment horizontal="left" vertical="top"/>
    </xf>
    <xf numFmtId="0" fontId="10" fillId="4" borderId="0" xfId="4" applyFont="1" applyFill="1" applyBorder="1" applyProtection="1">
      <alignment vertical="top"/>
    </xf>
    <xf numFmtId="0" fontId="10" fillId="4" borderId="0" xfId="4" applyFont="1" applyFill="1" applyBorder="1" applyAlignment="1" applyProtection="1">
      <alignment horizontal="center" vertical="top" shrinkToFit="1"/>
    </xf>
  </cellXfs>
  <cellStyles count="8">
    <cellStyle name="Heading 1" xfId="6" builtinId="16"/>
    <cellStyle name="Heading 3" xfId="7" builtinId="18"/>
    <cellStyle name="Normal" xfId="0" builtinId="0"/>
    <cellStyle name="Normal 2" xfId="1"/>
    <cellStyle name="Normal 3" xfId="2"/>
    <cellStyle name="Normal 4" xfId="3"/>
    <cellStyle name="Normal_Cost Capitalization Template" xfId="4"/>
    <cellStyle name="Title" xfId="5" builtinId="15"/>
  </cellStyles>
  <dxfs count="43">
    <dxf>
      <font>
        <b val="0"/>
        <i val="0"/>
        <strike val="0"/>
        <condense val="0"/>
        <extend val="0"/>
        <outline val="0"/>
        <shadow val="0"/>
        <u val="none"/>
        <vertAlign val="baseline"/>
        <sz val="8.25"/>
        <color auto="1"/>
        <name val="Microsoft Sans Serif"/>
        <scheme val="none"/>
      </font>
      <fill>
        <patternFill patternType="none">
          <fgColor indexed="64"/>
          <bgColor indexed="65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25"/>
        <color auto="1"/>
        <name val="Microsoft Sans Serif"/>
        <scheme val="none"/>
      </font>
      <fill>
        <patternFill patternType="none">
          <fgColor indexed="64"/>
          <bgColor indexed="65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25"/>
        <color auto="1"/>
        <name val="Microsoft Sans Serif"/>
        <scheme val="none"/>
      </font>
      <fill>
        <patternFill patternType="none">
          <fgColor indexed="64"/>
          <bgColor indexed="65"/>
        </patternFill>
      </fill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3"/>
        <name val="Microsoft Sans Serif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25"/>
        <color auto="1"/>
        <name val="Microsoft Sans Serif"/>
        <scheme val="none"/>
      </font>
      <fill>
        <patternFill patternType="none">
          <fgColor indexed="64"/>
          <bgColor indexed="65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25"/>
        <color auto="1"/>
        <name val="Microsoft Sans Serif"/>
        <scheme val="none"/>
      </font>
      <fill>
        <patternFill patternType="none">
          <fgColor indexed="64"/>
          <bgColor indexed="65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25"/>
        <color auto="1"/>
        <name val="Microsoft Sans Serif"/>
        <scheme val="none"/>
      </font>
      <fill>
        <patternFill patternType="none">
          <fgColor indexed="64"/>
          <bgColor indexed="65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25"/>
        <color auto="1"/>
        <name val="Microsoft Sans Serif"/>
        <scheme val="none"/>
      </font>
      <fill>
        <patternFill patternType="none">
          <fgColor indexed="64"/>
          <bgColor indexed="65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25"/>
        <color auto="1"/>
        <name val="Microsoft Sans Serif"/>
        <scheme val="none"/>
      </font>
      <fill>
        <patternFill patternType="none">
          <fgColor indexed="64"/>
          <bgColor indexed="65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25"/>
        <color auto="1"/>
        <name val="Microsoft Sans Serif"/>
        <scheme val="none"/>
      </font>
      <fill>
        <patternFill patternType="none">
          <fgColor indexed="64"/>
          <bgColor indexed="65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25"/>
        <color auto="1"/>
        <name val="Microsoft Sans Serif"/>
        <scheme val="none"/>
      </font>
      <fill>
        <patternFill patternType="none">
          <fgColor indexed="64"/>
          <bgColor indexed="65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25"/>
        <color auto="1"/>
        <name val="Microsoft Sans Serif"/>
        <scheme val="none"/>
      </font>
      <fill>
        <patternFill patternType="none">
          <fgColor indexed="64"/>
          <bgColor indexed="65"/>
        </patternFill>
      </fill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3"/>
        <name val="Microsoft Sans Serif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25"/>
        <color auto="1"/>
        <name val="Microsoft Sans Serif"/>
        <scheme val="none"/>
      </font>
      <fill>
        <patternFill patternType="none">
          <fgColor indexed="64"/>
          <bgColor indexed="65"/>
        </patternFill>
      </fill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3"/>
        <name val="Microsoft Sans Serif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25"/>
        <color auto="1"/>
        <name val="Microsoft Sans Serif"/>
        <scheme val="none"/>
      </font>
      <fill>
        <patternFill patternType="none">
          <fgColor indexed="64"/>
          <bgColor indexed="65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25"/>
        <color auto="1"/>
        <name val="Microsoft Sans Serif"/>
        <scheme val="none"/>
      </font>
      <fill>
        <patternFill patternType="none">
          <fgColor indexed="64"/>
          <bgColor indexed="65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25"/>
        <color auto="1"/>
        <name val="Microsoft Sans Serif"/>
        <scheme val="none"/>
      </font>
      <fill>
        <patternFill patternType="none">
          <fgColor indexed="64"/>
          <bgColor indexed="65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25"/>
        <color auto="1"/>
        <name val="Microsoft Sans Serif"/>
        <scheme val="none"/>
      </font>
      <fill>
        <patternFill patternType="none">
          <fgColor indexed="64"/>
          <bgColor indexed="65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25"/>
        <color auto="1"/>
        <name val="Microsoft Sans Serif"/>
        <scheme val="none"/>
      </font>
      <fill>
        <patternFill patternType="none">
          <fgColor indexed="64"/>
          <bgColor indexed="65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25"/>
        <color auto="1"/>
        <name val="Microsoft Sans Serif"/>
        <scheme val="none"/>
      </font>
      <fill>
        <patternFill patternType="none">
          <fgColor indexed="64"/>
          <bgColor indexed="65"/>
        </patternFill>
      </fill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3"/>
        <name val="Microsoft Sans Serif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1" hidden="0"/>
    </dxf>
    <dxf>
      <border outline="0">
        <top style="medium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25"/>
        <color auto="1"/>
        <name val="Microsoft Sans Serif"/>
        <scheme val="none"/>
      </font>
      <fill>
        <patternFill patternType="none">
          <fgColor indexed="64"/>
          <bgColor indexed="65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25"/>
        <color auto="1"/>
        <name val="Microsoft Sans Serif"/>
        <scheme val="none"/>
      </font>
      <fill>
        <patternFill patternType="none">
          <fgColor indexed="64"/>
          <bgColor indexed="65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25"/>
        <color auto="1"/>
        <name val="Microsoft Sans Serif"/>
        <scheme val="none"/>
      </font>
      <fill>
        <patternFill patternType="none">
          <fgColor indexed="64"/>
          <bgColor indexed="65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25"/>
        <color auto="1"/>
        <name val="Microsoft Sans Serif"/>
        <scheme val="none"/>
      </font>
      <fill>
        <patternFill patternType="none">
          <fgColor indexed="64"/>
          <bgColor indexed="65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25"/>
        <color auto="1"/>
        <name val="Microsoft Sans Serif"/>
        <scheme val="none"/>
      </font>
      <fill>
        <patternFill patternType="none">
          <fgColor indexed="64"/>
          <bgColor indexed="65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25"/>
        <color auto="1"/>
        <name val="Microsoft Sans Serif"/>
        <scheme val="none"/>
      </font>
      <fill>
        <patternFill patternType="none">
          <fgColor indexed="64"/>
          <bgColor indexed="65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25"/>
        <color auto="1"/>
        <name val="Microsoft Sans Serif"/>
        <scheme val="none"/>
      </font>
      <fill>
        <patternFill patternType="none">
          <fgColor indexed="64"/>
          <bgColor indexed="65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25"/>
        <color auto="1"/>
        <name val="Microsoft Sans Serif"/>
        <scheme val="none"/>
      </font>
      <fill>
        <patternFill patternType="none">
          <fgColor indexed="64"/>
          <bgColor indexed="65"/>
        </patternFill>
      </fill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3"/>
        <name val="Microsoft Sans Serif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25"/>
        <color auto="1"/>
        <name val="Microsoft Sans Serif"/>
        <scheme val="none"/>
      </font>
      <fill>
        <patternFill patternType="none">
          <fgColor indexed="64"/>
          <bgColor indexed="65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25"/>
        <color auto="1"/>
        <name val="Microsoft Sans Serif"/>
        <scheme val="none"/>
      </font>
      <fill>
        <patternFill patternType="none">
          <fgColor indexed="64"/>
          <bgColor indexed="65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25"/>
        <color auto="1"/>
        <name val="Microsoft Sans Serif"/>
        <scheme val="none"/>
      </font>
      <numFmt numFmtId="168" formatCode="0.0000000"/>
      <fill>
        <patternFill patternType="none">
          <fgColor indexed="64"/>
          <bgColor indexed="65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25"/>
        <color auto="1"/>
        <name val="Microsoft Sans Serif"/>
        <scheme val="none"/>
      </font>
      <numFmt numFmtId="168" formatCode="0.0000000"/>
      <fill>
        <patternFill patternType="none">
          <fgColor indexed="64"/>
          <bgColor indexed="65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25"/>
        <color auto="1"/>
        <name val="Microsoft Sans Serif"/>
        <scheme val="none"/>
      </font>
      <numFmt numFmtId="168" formatCode="0.0000000"/>
      <fill>
        <patternFill patternType="none">
          <fgColor indexed="64"/>
          <bgColor indexed="65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25"/>
        <color auto="1"/>
        <name val="Microsoft Sans Serif"/>
        <scheme val="none"/>
      </font>
      <fill>
        <patternFill patternType="none">
          <fgColor indexed="64"/>
          <bgColor indexed="65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25"/>
        <color auto="1"/>
        <name val="Microsoft Sans Serif"/>
        <scheme val="none"/>
      </font>
      <fill>
        <patternFill patternType="none">
          <fgColor indexed="64"/>
          <bgColor indexed="65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25"/>
        <color auto="1"/>
        <name val="Microsoft Sans Serif"/>
        <scheme val="none"/>
      </font>
      <fill>
        <patternFill patternType="none">
          <fgColor indexed="64"/>
          <bgColor indexed="65"/>
        </patternFill>
      </fill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3"/>
        <name val="Microsoft Sans Serif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25"/>
        <color auto="1"/>
        <name val="Microsoft Sans Serif"/>
        <scheme val="none"/>
      </font>
      <fill>
        <patternFill patternType="none">
          <fgColor indexed="64"/>
          <bgColor indexed="65"/>
        </patternFill>
      </fill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3"/>
        <name val="Microsoft Sans Serif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protection locked="1" hidden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5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4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8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7.xml"/><Relationship Id="rId10" Type="http://schemas.openxmlformats.org/officeDocument/2006/relationships/externalLink" Target="externalLinks/externalLink2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externalLink" Target="externalLinks/externalLink6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990600</xdr:colOff>
          <xdr:row>2</xdr:row>
          <xdr:rowOff>95250</xdr:rowOff>
        </xdr:from>
        <xdr:to>
          <xdr:col>5</xdr:col>
          <xdr:colOff>923925</xdr:colOff>
          <xdr:row>4</xdr:row>
          <xdr:rowOff>19050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Values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preadsheet%20Controls%20DemoFiles/Cost%20Capitalization%20Template1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Spreadsheet%20Controls%20DemoFiles/Cost%20Capitalization%20Template2.xlsb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Spreadsheet%20Controls%20DemoFiles/Major%20Bank%20Funds%20-%202010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Spreadsheet%20Controls%20DemoFiles/variances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Spreadsheet%20Controls%20DemoFiles/PLInput1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Spreadsheet%20Controls%20DemoFiles/PLInput2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Spreadsheet%20Controls%20DemoFiles/PLInput4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Spreadsheet%20Controls%20DemoFiles/PLInput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M Data"/>
      <sheetName val="GL Data"/>
      <sheetName val="Cost Capitalization"/>
      <sheetName val="CASH_FLOW"/>
    </sheetNames>
    <sheetDataSet>
      <sheetData sheetId="0">
        <row r="32">
          <cell r="D32">
            <v>2324300</v>
          </cell>
        </row>
        <row r="33">
          <cell r="D33">
            <v>3724300</v>
          </cell>
        </row>
      </sheetData>
      <sheetData sheetId="1">
        <row r="33">
          <cell r="D33">
            <v>182000</v>
          </cell>
        </row>
      </sheetData>
      <sheetData sheetId="2"/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M Data"/>
      <sheetName val="GL Data"/>
      <sheetName val="Cost Capitalization"/>
      <sheetName val="CASH_FLOW"/>
    </sheetNames>
    <sheetDataSet>
      <sheetData sheetId="0"/>
      <sheetData sheetId="1">
        <row r="32">
          <cell r="D32">
            <v>215000</v>
          </cell>
        </row>
      </sheetData>
      <sheetData sheetId="2"/>
      <sheetData sheetId="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sheetDataSet>
      <sheetData sheetId="0">
        <row r="10">
          <cell r="C10">
            <v>74258242</v>
          </cell>
        </row>
      </sheetData>
      <sheetData sheetId="1"/>
      <sheetData sheetId="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 vs. Actual Variance Report"/>
      <sheetName val="variances"/>
    </sheetNames>
    <sheetDataSet>
      <sheetData sheetId="0">
        <row r="35">
          <cell r="S35">
            <v>177000</v>
          </cell>
        </row>
        <row r="36">
          <cell r="S36">
            <v>212000</v>
          </cell>
        </row>
        <row r="37">
          <cell r="S37">
            <v>35000</v>
          </cell>
        </row>
        <row r="38">
          <cell r="S38">
            <v>0.19774011299435029</v>
          </cell>
        </row>
      </sheetData>
      <sheetData sheetId="1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d1"/>
      <sheetName val="scratch"/>
    </sheetNames>
    <sheetDataSet>
      <sheetData sheetId="0">
        <row r="27">
          <cell r="F27">
            <v>22695</v>
          </cell>
        </row>
      </sheetData>
      <sheetData sheetId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d2"/>
      <sheetName val="PLInput2"/>
    </sheetNames>
    <sheetDataSet>
      <sheetData sheetId="0">
        <row r="35">
          <cell r="F35">
            <v>-12200</v>
          </cell>
        </row>
      </sheetData>
      <sheetData sheetId="1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d3"/>
      <sheetName val="Documentation"/>
    </sheetNames>
    <sheetDataSet>
      <sheetData sheetId="0">
        <row r="34">
          <cell r="F34">
            <v>17706.666666666668</v>
          </cell>
        </row>
      </sheetData>
      <sheetData sheetId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d3"/>
      <sheetName val="PLInput3"/>
    </sheetNames>
    <sheetDataSet>
      <sheetData sheetId="0">
        <row r="34">
          <cell r="F34">
            <v>19544.666666666657</v>
          </cell>
        </row>
      </sheetData>
      <sheetData sheetId="1" refreshError="1"/>
    </sheetDataSet>
  </externalBook>
</externalLink>
</file>

<file path=xl/queryTables/queryTable1.xml><?xml version="1.0" encoding="utf-8"?>
<queryTable xmlns="http://schemas.openxmlformats.org/spreadsheetml/2006/main" name="table" connectionId="2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MS Access Database" connectionId="1" autoFormatId="16" applyNumberFormats="0" applyBorderFormats="0" applyFontFormats="1" applyPatternFormats="1" applyAlignmentFormats="0" applyWidthHeightFormats="0">
  <queryTableRefresh nextId="16">
    <queryTableFields count="14">
      <queryTableField id="1" name="ProductID"/>
      <queryTableField id="2" name="ProductName"/>
      <queryTableField id="3" name="SupplierID"/>
      <queryTableField id="4" name="CategoryID"/>
      <queryTableField id="5" name="QuantityPerUnit"/>
      <queryTableField id="6" name="UnitPrice"/>
      <queryTableField id="7" name="UnitsInStock"/>
      <queryTableField id="8" name="UnitsOnOrder"/>
      <queryTableField id="9" name="ReorderLevel"/>
      <queryTableField id="10" name="Discontinued"/>
      <queryTableField id="11" name="CategoryName"/>
      <queryTableField id="12" name="CategoryID"/>
      <queryTableField id="13" name="CategoryName"/>
      <queryTableField id="14" name="Description"/>
    </queryTableFields>
  </queryTableRefresh>
</queryTable>
</file>

<file path=xl/tables/table1.xml><?xml version="1.0" encoding="utf-8"?>
<table xmlns="http://schemas.openxmlformats.org/spreadsheetml/2006/main" id="1" name="Table1" displayName="Table1" ref="A10:G15" totalsRowShown="0" headerRowDxfId="42" dataDxfId="41">
  <autoFilter ref="A10:G15"/>
  <tableColumns count="7">
    <tableColumn id="1" name="Sales Revenue" dataDxfId="40"/>
    <tableColumn id="2" name="Prior Period" dataDxfId="39"/>
    <tableColumn id="3" name="Budget" dataDxfId="38"/>
    <tableColumn id="4" name="Current Period" dataDxfId="37"/>
    <tableColumn id="5" name="Current Period as % of Sales" dataDxfId="36"/>
    <tableColumn id="6" name="  % Change from Prior Period" dataDxfId="35">
      <calculatedColumnFormula>IF(D11=0,"-",D11/B11-1)</calculatedColumnFormula>
    </tableColumn>
    <tableColumn id="7" name="% Change from Budget" dataDxfId="34">
      <calculatedColumnFormula>IF(D11=0,"-",D11/C11-1)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A17:G25" totalsRowShown="0" headerRowDxfId="33" dataDxfId="32">
  <autoFilter ref="A17:G25"/>
  <tableColumns count="7">
    <tableColumn id="1" name="Cost of Sales" dataDxfId="31"/>
    <tableColumn id="2" name="Prior Period" dataDxfId="30"/>
    <tableColumn id="3" name="Budget" dataDxfId="29"/>
    <tableColumn id="4" name="Current Period" dataDxfId="28"/>
    <tableColumn id="5" name="Current Period as % of Sales" dataDxfId="27"/>
    <tableColumn id="6" name="  % Change from Prior Period" dataDxfId="26"/>
    <tableColumn id="7" name="% Change from Budget" dataDxfId="25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4" name="Table4" displayName="Table4" ref="A28:G33" totalsRowShown="0" headerRowDxfId="24" dataDxfId="23" tableBorderDxfId="22">
  <autoFilter ref="A28:G33"/>
  <tableColumns count="7">
    <tableColumn id="1" name="Sales and Marketing" dataDxfId="21"/>
    <tableColumn id="2" name="Prior Period" dataDxfId="20"/>
    <tableColumn id="3" name="Budget" dataDxfId="19"/>
    <tableColumn id="4" name="Current Period" dataDxfId="18"/>
    <tableColumn id="5" name="Current Period as % of Sales" dataDxfId="17">
      <calculatedColumnFormula>IF($D$15=0,"-",D29/$D$15)</calculatedColumnFormula>
    </tableColumn>
    <tableColumn id="6" name="  % Change from Prior Period" dataDxfId="16">
      <calculatedColumnFormula>IF(D29=0,"-",D29/B29-1)</calculatedColumnFormula>
    </tableColumn>
    <tableColumn id="7" name="% Change from Budget" dataDxfId="15">
      <calculatedColumnFormula>IF(D29=0,"-",D29/C29-1)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6" name="Table6" displayName="Table6" ref="A35:G54" totalsRowShown="0" headerRowDxfId="14" dataDxfId="13">
  <autoFilter ref="A35:G54"/>
  <tableColumns count="7">
    <tableColumn id="1" name="Research and Development" dataDxfId="12"/>
    <tableColumn id="2" name="Prior Period" dataDxfId="11"/>
    <tableColumn id="3" name="Budget" dataDxfId="10"/>
    <tableColumn id="4" name="Current Period" dataDxfId="9"/>
    <tableColumn id="5" name="Current Period as % of Sales" dataDxfId="8">
      <calculatedColumnFormula>IF($D$15=0,"-",D36/$D$15)</calculatedColumnFormula>
    </tableColumn>
    <tableColumn id="6" name="  % Change from Prior Period" dataDxfId="7">
      <calculatedColumnFormula>IF(D36=0,"-",D36/B36-1)</calculatedColumnFormula>
    </tableColumn>
    <tableColumn id="7" name="% Change from Budget" dataDxfId="6">
      <calculatedColumnFormula>IF(D36=0,"-",D36/C36-1)</calculatedColumnFormula>
    </tableColumn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7" name="Table7" displayName="Table7" ref="A4:D9" totalsRowShown="0" headerRowDxfId="5" dataDxfId="4">
  <autoFilter ref="A4:D9"/>
  <tableColumns count="4">
    <tableColumn id="1" name="Summary" dataDxfId="3"/>
    <tableColumn id="2" name="Prior" dataDxfId="2"/>
    <tableColumn id="3" name="Budget" dataDxfId="1"/>
    <tableColumn id="4" name="Current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Facet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Facet">
      <a:majorFont>
        <a:latin typeface="Trebuchet MS" panose="020B0603020202020204"/>
        <a:ea typeface=""/>
        <a:cs typeface=""/>
        <a:font script="Jpan" typeface="メイリオ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rebuchet MS" panose="020B0603020202020204"/>
        <a:ea typeface=""/>
        <a:cs typeface=""/>
        <a:font script="Jpan" typeface="メイリオ"/>
        <a:font script="Hang" typeface="HY그래픽M"/>
        <a:font script="Hans" typeface="华文新魏"/>
        <a:font script="Hant" typeface="微軟正黑體"/>
        <a:font script="Arab" typeface="Tahoma"/>
        <a:font script="Hebr" typeface="Gisha"/>
        <a:font script="Thai" typeface="Iris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Facet">
      <a:fillStyleLst>
        <a:solidFill>
          <a:schemeClr val="phClr"/>
        </a:solidFill>
        <a:gradFill rotWithShape="1">
          <a:gsLst>
            <a:gs pos="0">
              <a:schemeClr val="phClr">
                <a:tint val="65000"/>
                <a:lumMod val="110000"/>
              </a:schemeClr>
            </a:gs>
            <a:gs pos="88000">
              <a:schemeClr val="phClr">
                <a:tint val="9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lumMod val="100000"/>
              </a:schemeClr>
            </a:gs>
            <a:gs pos="78000">
              <a:schemeClr val="phClr">
                <a:shade val="94000"/>
                <a:lumMod val="94000"/>
              </a:schemeClr>
            </a:gs>
          </a:gsLst>
          <a:lin ang="5400000" scaled="0"/>
        </a:gradFill>
      </a:fillStyleLst>
      <a:lnStyleLst>
        <a:ln w="12700" cap="rnd" cmpd="sng" algn="ctr">
          <a:solidFill>
            <a:schemeClr val="phClr"/>
          </a:solidFill>
          <a:prstDash val="solid"/>
        </a:ln>
        <a:ln w="190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8100" dist="254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50800" dist="381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l"/>
          </a:scene3d>
          <a:sp3d prstMaterial="plastic">
            <a:bevelT w="0" h="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0000"/>
                <a:lumMod val="104000"/>
              </a:schemeClr>
            </a:gs>
            <a:gs pos="94000">
              <a:schemeClr val="phClr">
                <a:shade val="96000"/>
                <a:lumMod val="82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0000"/>
                <a:lumMod val="110000"/>
              </a:schemeClr>
            </a:gs>
            <a:gs pos="100000">
              <a:schemeClr val="phClr">
                <a:shade val="94000"/>
                <a:lumMod val="96000"/>
              </a:schemeClr>
            </a:gs>
          </a:gsLst>
          <a:path path="circle">
            <a:fillToRect l="50000" t="5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Facet" id="{C0C680CD-088A-49FC-A102-D699147F32B2}" vid="{CFBC31BA-B70F-4F30-BCAA-4F3011E16C4D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drawing" Target="../drawings/drawing1.xml"/><Relationship Id="rId7" Type="http://schemas.openxmlformats.org/officeDocument/2006/relationships/table" Target="../tables/table2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1.xml"/><Relationship Id="rId11" Type="http://schemas.openxmlformats.org/officeDocument/2006/relationships/comments" Target="../comments1.xml"/><Relationship Id="rId5" Type="http://schemas.openxmlformats.org/officeDocument/2006/relationships/ctrlProp" Target="../ctrlProps/ctrlProp1.xml"/><Relationship Id="rId10" Type="http://schemas.openxmlformats.org/officeDocument/2006/relationships/table" Target="../tables/table5.xml"/><Relationship Id="rId4" Type="http://schemas.openxmlformats.org/officeDocument/2006/relationships/vmlDrawing" Target="../drawings/vmlDrawing1.vml"/><Relationship Id="rId9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.xml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31"/>
  <sheetViews>
    <sheetView topLeftCell="A4" workbookViewId="0">
      <selection activeCell="C14" sqref="C14"/>
    </sheetView>
  </sheetViews>
  <sheetFormatPr defaultRowHeight="15" customHeight="1" x14ac:dyDescent="0.3"/>
  <cols>
    <col min="1" max="1" width="27.625" customWidth="1"/>
    <col min="2" max="2" width="0.25" hidden="1" customWidth="1"/>
    <col min="3" max="3" width="68.5" customWidth="1"/>
    <col min="4" max="4" width="9" customWidth="1"/>
    <col min="5" max="5" width="8" customWidth="1"/>
  </cols>
  <sheetData>
    <row r="1" spans="1:3" ht="16.5" x14ac:dyDescent="0.3">
      <c r="A1" s="29"/>
      <c r="B1" s="29"/>
      <c r="C1" s="29"/>
    </row>
    <row r="2" spans="1:3" ht="16.5" x14ac:dyDescent="0.3">
      <c r="A2" s="28" t="s">
        <v>356</v>
      </c>
      <c r="B2" s="29" t="s">
        <v>357</v>
      </c>
      <c r="C2" s="37">
        <v>41215</v>
      </c>
    </row>
    <row r="3" spans="1:3" ht="16.5" x14ac:dyDescent="0.3">
      <c r="A3" s="28" t="s">
        <v>358</v>
      </c>
      <c r="B3" s="29" t="s">
        <v>359</v>
      </c>
      <c r="C3" s="30" t="s">
        <v>410</v>
      </c>
    </row>
    <row r="4" spans="1:3" ht="16.5" x14ac:dyDescent="0.3">
      <c r="A4" s="31" t="s">
        <v>360</v>
      </c>
      <c r="B4" s="31"/>
      <c r="C4" s="29"/>
    </row>
    <row r="5" spans="1:3" ht="6" customHeight="1" x14ac:dyDescent="0.3">
      <c r="A5" s="29"/>
      <c r="B5" s="29"/>
      <c r="C5" s="29"/>
    </row>
    <row r="6" spans="1:3" ht="16.5" x14ac:dyDescent="0.3">
      <c r="A6" s="32" t="s">
        <v>361</v>
      </c>
      <c r="B6" s="32" t="s">
        <v>362</v>
      </c>
      <c r="C6" s="30" t="s">
        <v>363</v>
      </c>
    </row>
    <row r="7" spans="1:3" ht="16.5" x14ac:dyDescent="0.3">
      <c r="A7" s="32" t="s">
        <v>364</v>
      </c>
      <c r="B7" s="29" t="s">
        <v>365</v>
      </c>
      <c r="C7" s="33" t="s">
        <v>406</v>
      </c>
    </row>
    <row r="8" spans="1:3" ht="16.5" x14ac:dyDescent="0.3">
      <c r="A8" s="32" t="s">
        <v>366</v>
      </c>
      <c r="B8" s="32" t="s">
        <v>367</v>
      </c>
      <c r="C8" s="30" t="s">
        <v>368</v>
      </c>
    </row>
    <row r="9" spans="1:3" ht="16.5" x14ac:dyDescent="0.3">
      <c r="A9" s="32" t="s">
        <v>369</v>
      </c>
      <c r="B9" s="32" t="s">
        <v>370</v>
      </c>
      <c r="C9" s="30" t="s">
        <v>408</v>
      </c>
    </row>
    <row r="10" spans="1:3" ht="16.5" x14ac:dyDescent="0.3">
      <c r="A10" s="32" t="s">
        <v>371</v>
      </c>
      <c r="B10" s="32" t="s">
        <v>372</v>
      </c>
      <c r="C10" s="30" t="s">
        <v>373</v>
      </c>
    </row>
    <row r="11" spans="1:3" ht="16.5" x14ac:dyDescent="0.3">
      <c r="A11" s="32" t="s">
        <v>374</v>
      </c>
      <c r="B11" s="32" t="s">
        <v>375</v>
      </c>
      <c r="C11" s="30" t="s">
        <v>373</v>
      </c>
    </row>
    <row r="12" spans="1:3" ht="16.5" x14ac:dyDescent="0.3">
      <c r="A12" s="32" t="s">
        <v>376</v>
      </c>
      <c r="B12" s="32" t="s">
        <v>377</v>
      </c>
      <c r="C12" s="30" t="s">
        <v>378</v>
      </c>
    </row>
    <row r="13" spans="1:3" ht="16.5" x14ac:dyDescent="0.3">
      <c r="A13" s="32" t="s">
        <v>379</v>
      </c>
      <c r="B13" s="32" t="s">
        <v>380</v>
      </c>
      <c r="C13" s="30" t="s">
        <v>407</v>
      </c>
    </row>
    <row r="14" spans="1:3" ht="16.5" x14ac:dyDescent="0.3">
      <c r="A14" s="32" t="s">
        <v>381</v>
      </c>
      <c r="B14" s="32" t="s">
        <v>382</v>
      </c>
      <c r="C14" s="30" t="s">
        <v>383</v>
      </c>
    </row>
    <row r="15" spans="1:3" ht="16.5" x14ac:dyDescent="0.3">
      <c r="A15" s="32" t="s">
        <v>384</v>
      </c>
      <c r="B15" s="32" t="s">
        <v>385</v>
      </c>
      <c r="C15" s="30" t="s">
        <v>386</v>
      </c>
    </row>
    <row r="16" spans="1:3" ht="16.5" x14ac:dyDescent="0.3">
      <c r="A16" s="32" t="s">
        <v>387</v>
      </c>
      <c r="B16" s="32" t="s">
        <v>388</v>
      </c>
      <c r="C16" s="30" t="s">
        <v>389</v>
      </c>
    </row>
    <row r="17" spans="1:3" ht="16.5" x14ac:dyDescent="0.3">
      <c r="A17" s="32" t="s">
        <v>390</v>
      </c>
      <c r="B17" s="32" t="s">
        <v>391</v>
      </c>
      <c r="C17" s="30" t="s">
        <v>392</v>
      </c>
    </row>
    <row r="18" spans="1:3" ht="28.5" customHeight="1" x14ac:dyDescent="0.3">
      <c r="A18" s="32" t="s">
        <v>393</v>
      </c>
      <c r="B18" s="32" t="s">
        <v>394</v>
      </c>
      <c r="C18" s="34" t="s">
        <v>409</v>
      </c>
    </row>
    <row r="19" spans="1:3" ht="24.95" customHeight="1" x14ac:dyDescent="0.3">
      <c r="A19" s="32" t="s">
        <v>395</v>
      </c>
      <c r="B19" s="32" t="s">
        <v>396</v>
      </c>
      <c r="C19" s="34" t="s">
        <v>397</v>
      </c>
    </row>
    <row r="20" spans="1:3" ht="16.5" x14ac:dyDescent="0.3">
      <c r="A20" s="35" t="s">
        <v>398</v>
      </c>
      <c r="B20" s="35"/>
      <c r="C20" s="35" t="s">
        <v>399</v>
      </c>
    </row>
    <row r="21" spans="1:3" ht="16.5" x14ac:dyDescent="0.3">
      <c r="A21" s="36" t="s">
        <v>400</v>
      </c>
      <c r="B21" s="36"/>
      <c r="C21" s="30"/>
    </row>
    <row r="22" spans="1:3" ht="16.5" x14ac:dyDescent="0.3">
      <c r="A22" s="36" t="s">
        <v>401</v>
      </c>
      <c r="B22" s="36"/>
      <c r="C22" s="30"/>
    </row>
    <row r="23" spans="1:3" ht="16.5" x14ac:dyDescent="0.3">
      <c r="A23" s="36" t="s">
        <v>402</v>
      </c>
      <c r="B23" s="36"/>
      <c r="C23" s="30"/>
    </row>
    <row r="24" spans="1:3" ht="16.5" x14ac:dyDescent="0.3">
      <c r="A24" s="36" t="s">
        <v>403</v>
      </c>
      <c r="B24" s="36"/>
      <c r="C24" s="30"/>
    </row>
    <row r="25" spans="1:3" ht="16.5" x14ac:dyDescent="0.3">
      <c r="A25" s="36" t="s">
        <v>404</v>
      </c>
      <c r="B25" s="36"/>
      <c r="C25" s="30"/>
    </row>
    <row r="26" spans="1:3" ht="16.5" x14ac:dyDescent="0.3">
      <c r="A26" s="35"/>
      <c r="B26" s="35"/>
      <c r="C26" s="35" t="s">
        <v>405</v>
      </c>
    </row>
    <row r="27" spans="1:3" ht="16.5" x14ac:dyDescent="0.3">
      <c r="A27" s="36" t="s">
        <v>400</v>
      </c>
      <c r="B27" s="36"/>
      <c r="C27" s="30"/>
    </row>
    <row r="28" spans="1:3" ht="16.5" x14ac:dyDescent="0.3">
      <c r="A28" s="36" t="s">
        <v>401</v>
      </c>
      <c r="B28" s="36"/>
      <c r="C28" s="30"/>
    </row>
    <row r="29" spans="1:3" ht="16.5" x14ac:dyDescent="0.3">
      <c r="A29" s="36" t="s">
        <v>402</v>
      </c>
      <c r="B29" s="36"/>
      <c r="C29" s="30"/>
    </row>
    <row r="30" spans="1:3" ht="16.5" x14ac:dyDescent="0.3">
      <c r="A30" s="36" t="s">
        <v>403</v>
      </c>
      <c r="B30" s="36"/>
      <c r="C30" s="30"/>
    </row>
    <row r="31" spans="1:3" ht="16.5" x14ac:dyDescent="0.3">
      <c r="A31" s="36" t="s">
        <v>404</v>
      </c>
      <c r="B31" s="36"/>
      <c r="C31" s="30"/>
    </row>
  </sheetData>
  <customSheetViews>
    <customSheetView guid="{8A6DCCC5-D866-46E7-B008-2AB15BA7B0AA}" hiddenColumns="1">
      <selection activeCell="C9" sqref="C9"/>
      <pageMargins left="0.75" right="0.75" top="1" bottom="1" header="0.5" footer="0.5"/>
      <pageSetup orientation="landscape" r:id="rId1"/>
      <headerFooter alignWithMargins="0"/>
    </customSheetView>
    <customSheetView guid="{2BB9D149-3035-471F-8023-B102C129B036}" hiddenColumns="1">
      <selection activeCell="C9" sqref="C9"/>
    </customSheetView>
  </customSheetViews>
  <pageMargins left="0.75" right="0.75" top="1" bottom="1" header="0.5" footer="0.5"/>
  <pageSetup orientation="landscape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autoPageBreaks="0"/>
  </sheetPr>
  <dimension ref="A1:G75"/>
  <sheetViews>
    <sheetView tabSelected="1" defaultGridColor="0" colorId="55" zoomScaleNormal="100" zoomScaleSheetLayoutView="100" workbookViewId="0">
      <selection activeCell="F23" sqref="F23"/>
    </sheetView>
  </sheetViews>
  <sheetFormatPr defaultRowHeight="15" customHeight="1" x14ac:dyDescent="0.3"/>
  <cols>
    <col min="1" max="1" width="31.375" customWidth="1"/>
    <col min="2" max="2" width="15.25" customWidth="1"/>
    <col min="3" max="3" width="17.75" customWidth="1"/>
    <col min="4" max="4" width="14.375" customWidth="1"/>
    <col min="5" max="5" width="25.75" customWidth="1"/>
    <col min="6" max="6" width="26.125" customWidth="1"/>
    <col min="7" max="7" width="21.125" customWidth="1"/>
  </cols>
  <sheetData>
    <row r="1" spans="1:7" ht="21" thickBot="1" x14ac:dyDescent="0.4">
      <c r="A1" s="67" t="s">
        <v>411</v>
      </c>
      <c r="B1" s="38"/>
      <c r="C1" s="2"/>
      <c r="D1" s="38"/>
      <c r="E1" s="38"/>
      <c r="F1" s="38"/>
      <c r="G1" s="38"/>
    </row>
    <row r="2" spans="1:7" ht="24" thickTop="1" x14ac:dyDescent="0.35">
      <c r="A2" s="68" t="s">
        <v>0</v>
      </c>
      <c r="B2" s="38"/>
      <c r="C2" s="2"/>
      <c r="D2" s="38"/>
      <c r="E2" s="38"/>
      <c r="F2" s="38"/>
      <c r="G2" s="38"/>
    </row>
    <row r="3" spans="1:7" ht="16.5" x14ac:dyDescent="0.3">
      <c r="A3" s="38"/>
      <c r="B3" s="48"/>
      <c r="C3" s="48"/>
      <c r="D3" s="58" t="s">
        <v>1</v>
      </c>
      <c r="E3" s="38"/>
      <c r="F3" s="38"/>
      <c r="G3" s="38"/>
    </row>
    <row r="4" spans="1:7" ht="16.5" x14ac:dyDescent="0.3">
      <c r="A4" s="39" t="s">
        <v>417</v>
      </c>
      <c r="B4" s="53" t="s">
        <v>418</v>
      </c>
      <c r="C4" s="38" t="s">
        <v>5</v>
      </c>
      <c r="D4" s="38" t="s">
        <v>419</v>
      </c>
      <c r="E4" s="38"/>
      <c r="F4" s="38" t="s">
        <v>137</v>
      </c>
      <c r="G4" s="38"/>
    </row>
    <row r="5" spans="1:7" ht="16.5" x14ac:dyDescent="0.3">
      <c r="A5" s="39" t="s">
        <v>138</v>
      </c>
      <c r="B5" s="53" t="s">
        <v>415</v>
      </c>
      <c r="C5" s="38">
        <v>78</v>
      </c>
      <c r="D5" s="66">
        <v>75</v>
      </c>
      <c r="E5" s="38"/>
      <c r="F5" s="38"/>
      <c r="G5" s="38"/>
    </row>
    <row r="6" spans="1:7" ht="16.5" x14ac:dyDescent="0.3">
      <c r="A6" s="39" t="s">
        <v>296</v>
      </c>
      <c r="B6" s="40">
        <f>' ExchRates'!$B$18</f>
        <v>0.70288899999999999</v>
      </c>
      <c r="C6" s="38"/>
      <c r="D6" s="38"/>
      <c r="E6" s="38"/>
      <c r="F6" s="38"/>
      <c r="G6" s="38"/>
    </row>
    <row r="7" spans="1:7" ht="16.5" x14ac:dyDescent="0.3">
      <c r="A7" s="39" t="s">
        <v>2</v>
      </c>
      <c r="B7" s="50" t="e">
        <f>IF(D15=0,"-",D25/D15)/B70</f>
        <v>#DIV/0!</v>
      </c>
      <c r="C7" s="38">
        <f>IF(C15=0,"-",C25/C15)</f>
        <v>0.8635253278477758</v>
      </c>
      <c r="D7" s="38">
        <f>IF(D15=0,"-",D25/D15)</f>
        <v>0.84057414530958741</v>
      </c>
      <c r="E7" s="38"/>
      <c r="F7" s="38"/>
      <c r="G7" s="38"/>
    </row>
    <row r="8" spans="1:7" ht="16.5" x14ac:dyDescent="0.3">
      <c r="A8" s="39" t="s">
        <v>3</v>
      </c>
      <c r="B8" s="38">
        <f>IF(D15=0,"-",D70/D15)</f>
        <v>2.2004063139228842</v>
      </c>
      <c r="C8" s="38">
        <f>IF(C15=0,"-",C70/C15)</f>
        <v>1.2146255004959041</v>
      </c>
      <c r="D8" s="38">
        <f>IF(D15=0,"-",D70/D15)</f>
        <v>2.2004063139228842</v>
      </c>
      <c r="E8" s="38"/>
      <c r="F8" s="69" t="e">
        <f>#REF!</f>
        <v>#REF!</v>
      </c>
      <c r="G8" s="38"/>
    </row>
    <row r="9" spans="1:7" ht="16.5" x14ac:dyDescent="0.3">
      <c r="A9" s="41"/>
      <c r="B9" s="38" t="e">
        <f>SUM(B7:B8)</f>
        <v>#DIV/0!</v>
      </c>
      <c r="C9" s="38">
        <f>C7-C8+C5</f>
        <v>77.648899827351869</v>
      </c>
      <c r="D9" s="38">
        <f>D7-D8+D5</f>
        <v>73.640167831386705</v>
      </c>
      <c r="E9" s="38"/>
      <c r="F9" s="38"/>
      <c r="G9" s="38"/>
    </row>
    <row r="10" spans="1:7" ht="16.5" x14ac:dyDescent="0.3">
      <c r="A10" s="39" t="s">
        <v>10</v>
      </c>
      <c r="B10" s="42" t="s">
        <v>4</v>
      </c>
      <c r="C10" s="42" t="s">
        <v>5</v>
      </c>
      <c r="D10" s="42" t="s">
        <v>6</v>
      </c>
      <c r="E10" s="43" t="s">
        <v>7</v>
      </c>
      <c r="F10" s="42" t="s">
        <v>8</v>
      </c>
      <c r="G10" s="42" t="s">
        <v>9</v>
      </c>
    </row>
    <row r="11" spans="1:7" ht="16.5" x14ac:dyDescent="0.3">
      <c r="A11" s="39" t="s">
        <v>11</v>
      </c>
      <c r="B11" s="38">
        <v>31940</v>
      </c>
      <c r="C11" s="44">
        <v>35494</v>
      </c>
      <c r="D11" s="38">
        <f>[5]Prod1!F27</f>
        <v>22695</v>
      </c>
      <c r="E11" s="45">
        <f>IF($D$15=0,"-",D11/$D$15)</f>
        <v>0.47532445772450244</v>
      </c>
      <c r="F11" s="45">
        <f t="shared" ref="F11:F15" si="0">IF(D11=0,"-",D11/B11-1)</f>
        <v>-0.28944896681277399</v>
      </c>
      <c r="G11" s="45">
        <f t="shared" ref="G11:G15" si="1">IF(D11=0,"-",D11/C11-1)</f>
        <v>-0.36059615709697412</v>
      </c>
    </row>
    <row r="12" spans="1:7" ht="16.5" x14ac:dyDescent="0.3">
      <c r="A12" s="39" t="s">
        <v>12</v>
      </c>
      <c r="B12" s="38">
        <v>27082</v>
      </c>
      <c r="C12" s="38">
        <v>1296</v>
      </c>
      <c r="D12" s="46">
        <f>[6]Prod2!F35</f>
        <v>-12200</v>
      </c>
      <c r="E12" s="45">
        <f>IF($D$15=0,"-",D12/$D$15)</f>
        <v>-0.25551700305084513</v>
      </c>
      <c r="F12" s="45">
        <f t="shared" si="0"/>
        <v>-1.450483716121409</v>
      </c>
      <c r="G12" s="45">
        <f t="shared" si="1"/>
        <v>-10.413580246913581</v>
      </c>
    </row>
    <row r="13" spans="1:7" ht="16.5" x14ac:dyDescent="0.3">
      <c r="A13" s="39" t="s">
        <v>13</v>
      </c>
      <c r="B13" s="38">
        <v>28792</v>
      </c>
      <c r="C13" s="38">
        <v>3876</v>
      </c>
      <c r="D13" s="38">
        <f>[8]Prod3!F34</f>
        <v>19544.666666666657</v>
      </c>
      <c r="E13" s="45">
        <f>IF($D$15=0,"-",D13/$D$15)</f>
        <v>0.40934382395855862</v>
      </c>
      <c r="F13" s="45">
        <f t="shared" si="0"/>
        <v>-0.32117717884597607</v>
      </c>
      <c r="G13" s="45">
        <f t="shared" si="1"/>
        <v>4.0424836601307161</v>
      </c>
    </row>
    <row r="14" spans="1:7" ht="16.5" x14ac:dyDescent="0.3">
      <c r="A14" s="39" t="s">
        <v>14</v>
      </c>
      <c r="B14" s="38">
        <v>89946</v>
      </c>
      <c r="C14" s="44">
        <v>68226</v>
      </c>
      <c r="D14" s="38">
        <f>[7]Prod3!F34</f>
        <v>17706.666666666668</v>
      </c>
      <c r="E14" s="45">
        <f>IF($D$15=0,"-",D14/$D$15)</f>
        <v>0.37084872136778396</v>
      </c>
      <c r="F14" s="45">
        <f t="shared" si="0"/>
        <v>-0.80314114394562663</v>
      </c>
      <c r="G14" s="45">
        <f t="shared" si="1"/>
        <v>-0.74047039740470399</v>
      </c>
    </row>
    <row r="15" spans="1:7" ht="16.5" x14ac:dyDescent="0.3">
      <c r="A15" s="39" t="s">
        <v>15</v>
      </c>
      <c r="B15" s="38">
        <f>SUM(B10:B14)</f>
        <v>177760</v>
      </c>
      <c r="C15" s="38">
        <f>SUM(C11:C14)</f>
        <v>108892</v>
      </c>
      <c r="D15" s="47">
        <f>SUM(D11:D14)</f>
        <v>47746.333333333328</v>
      </c>
      <c r="E15" s="38">
        <f>SUM(E10:E14)</f>
        <v>1</v>
      </c>
      <c r="F15" s="38">
        <f t="shared" si="0"/>
        <v>-0.7314000150015002</v>
      </c>
      <c r="G15" s="38">
        <f t="shared" si="1"/>
        <v>-0.56152579314060413</v>
      </c>
    </row>
    <row r="16" spans="1:7" ht="16.5" x14ac:dyDescent="0.3">
      <c r="A16" s="39"/>
      <c r="B16" s="38"/>
      <c r="C16" s="38"/>
      <c r="D16" s="47"/>
      <c r="E16" s="38"/>
      <c r="F16" s="38"/>
      <c r="G16" s="38"/>
    </row>
    <row r="17" spans="1:7" ht="16.5" x14ac:dyDescent="0.3">
      <c r="A17" s="39" t="s">
        <v>416</v>
      </c>
      <c r="B17" s="42" t="s">
        <v>4</v>
      </c>
      <c r="C17" s="42" t="s">
        <v>5</v>
      </c>
      <c r="D17" s="42" t="s">
        <v>6</v>
      </c>
      <c r="E17" s="43" t="s">
        <v>7</v>
      </c>
      <c r="F17" s="42" t="s">
        <v>8</v>
      </c>
      <c r="G17" s="42" t="s">
        <v>9</v>
      </c>
    </row>
    <row r="18" spans="1:7" ht="16.5" x14ac:dyDescent="0.3">
      <c r="A18" s="39" t="s">
        <v>11</v>
      </c>
      <c r="B18" s="38">
        <v>1611</v>
      </c>
      <c r="C18" s="38">
        <v>1031</v>
      </c>
      <c r="D18" s="38">
        <v>2246</v>
      </c>
      <c r="E18" s="38">
        <f t="shared" ref="E18:E23" si="2">IF($D$15=0,"-",D18/$D$15)</f>
        <v>4.7040261381327712E-2</v>
      </c>
      <c r="F18" s="38">
        <f>IF(D18=0,"-",D18/B18-1)</f>
        <v>0.39416511483550587</v>
      </c>
      <c r="G18" s="38">
        <f t="shared" ref="G18:G23" si="3">IF(D18=0,"-",D18/C18-1)</f>
        <v>1.1784675072744908</v>
      </c>
    </row>
    <row r="19" spans="1:7" ht="16.5" x14ac:dyDescent="0.3">
      <c r="A19" s="39" t="s">
        <v>412</v>
      </c>
      <c r="B19" s="38">
        <v>1455</v>
      </c>
      <c r="C19" s="38">
        <v>1087</v>
      </c>
      <c r="D19" s="38">
        <v>2246</v>
      </c>
      <c r="E19" s="38">
        <f t="shared" ref="E19:E20" si="4">IF($D$15=0,"-",D19/$D$15)</f>
        <v>4.7040261381327712E-2</v>
      </c>
      <c r="F19" s="38">
        <f>IF(D19=0,"-",D19/B19-1)</f>
        <v>0.54364261168384886</v>
      </c>
      <c r="G19" s="38">
        <f t="shared" ref="G19:G20" si="5">IF(D19=0,"-",D19/C19-1)</f>
        <v>1.0662373505059799</v>
      </c>
    </row>
    <row r="20" spans="1:7" ht="16.5" x14ac:dyDescent="0.3">
      <c r="A20" s="39" t="s">
        <v>12</v>
      </c>
      <c r="B20" s="46">
        <v>1813</v>
      </c>
      <c r="C20" s="46">
        <v>3552</v>
      </c>
      <c r="D20" s="38">
        <v>2350</v>
      </c>
      <c r="E20" s="38">
        <f t="shared" si="4"/>
        <v>4.9218439112252953E-2</v>
      </c>
      <c r="F20" s="38">
        <v>0.13967022308438404</v>
      </c>
      <c r="G20" s="38">
        <f t="shared" si="5"/>
        <v>-0.33840090090090091</v>
      </c>
    </row>
    <row r="21" spans="1:7" ht="16.5" x14ac:dyDescent="0.3">
      <c r="A21" s="39" t="s">
        <v>13</v>
      </c>
      <c r="B21" s="38">
        <v>50600</v>
      </c>
      <c r="C21" s="38">
        <v>5805</v>
      </c>
      <c r="D21" s="38">
        <v>675</v>
      </c>
      <c r="E21" s="38">
        <f t="shared" si="2"/>
        <v>1.4137211234370528E-2</v>
      </c>
      <c r="F21" s="38">
        <f>D21/B21-1</f>
        <v>-0.98666007905138342</v>
      </c>
      <c r="G21" s="38">
        <f t="shared" si="3"/>
        <v>-0.88372093023255816</v>
      </c>
    </row>
    <row r="22" spans="1:7" ht="16.5" x14ac:dyDescent="0.3">
      <c r="A22" s="39" t="s">
        <v>14</v>
      </c>
      <c r="B22" s="38">
        <v>991</v>
      </c>
      <c r="C22" s="38">
        <v>3386</v>
      </c>
      <c r="D22" s="38">
        <v>95</v>
      </c>
      <c r="E22" s="38">
        <f t="shared" si="2"/>
        <v>1.98968158113363E-3</v>
      </c>
      <c r="F22" s="38">
        <f>IF(D22=0,"-",D22/B22-1)</f>
        <v>-0.90413723511604438</v>
      </c>
      <c r="G22" s="38">
        <f t="shared" si="3"/>
        <v>-0.97194329592439455</v>
      </c>
    </row>
    <row r="23" spans="1:7" ht="16.5" x14ac:dyDescent="0.3">
      <c r="A23" s="39" t="s">
        <v>16</v>
      </c>
      <c r="B23" s="55">
        <f>SUM(B18:B22)+360</f>
        <v>56830</v>
      </c>
      <c r="C23" s="56">
        <f>SUM(C18:C22)</f>
        <v>14861</v>
      </c>
      <c r="D23" s="57">
        <f>SUM(D18:D22)</f>
        <v>7612</v>
      </c>
      <c r="E23" s="57">
        <f t="shared" si="2"/>
        <v>0.15942585469041254</v>
      </c>
      <c r="F23" s="57">
        <f>IF(D23=0,"-",D23/B23-1)</f>
        <v>-0.86605666021467531</v>
      </c>
      <c r="G23" s="57">
        <f t="shared" si="3"/>
        <v>-0.48778682457438938</v>
      </c>
    </row>
    <row r="24" spans="1:7" ht="16.5" x14ac:dyDescent="0.3">
      <c r="A24" s="39"/>
      <c r="B24" s="38"/>
      <c r="C24" s="38"/>
      <c r="D24" s="38"/>
      <c r="E24" s="38"/>
      <c r="F24" s="38"/>
      <c r="G24" s="38"/>
    </row>
    <row r="25" spans="1:7" ht="16.5" x14ac:dyDescent="0.3">
      <c r="A25" s="39" t="s">
        <v>17</v>
      </c>
      <c r="B25" s="38">
        <f>B15-B23</f>
        <v>120930</v>
      </c>
      <c r="C25" s="40">
        <f>C15-C23</f>
        <v>94031</v>
      </c>
      <c r="D25" s="40">
        <f>D15-D23</f>
        <v>40134.333333333328</v>
      </c>
      <c r="E25" s="38">
        <f>IF($D$15=0,"-",D25/$D$25)</f>
        <v>1</v>
      </c>
      <c r="F25" s="38">
        <f>IF(B25=0,"-",IF(B25=D25,"0.0%",IF(D25&gt;B25,ABS((D25/B25)-1),IF(AND(D25&lt;B25,B25&lt;0),-((D25/B25)-1),(D25/B25)-1))))</f>
        <v>-0.66811929766531608</v>
      </c>
      <c r="G25" s="38">
        <f>IF(C25=0,"-",IF(C25=D25,"0.0%",IF(D25&gt;C25,ABS((D25/C25)-1),IF(AND(D25&lt;C25,C25&lt;0),-((D25/C25)-1),(D25/C25)-1))))</f>
        <v>-0.57317976695628747</v>
      </c>
    </row>
    <row r="26" spans="1:7" ht="16.5" x14ac:dyDescent="0.3">
      <c r="A26" s="39"/>
      <c r="B26" s="38"/>
      <c r="C26" s="40"/>
      <c r="D26" s="40"/>
      <c r="E26" s="38"/>
      <c r="F26" s="38"/>
      <c r="G26" s="38"/>
    </row>
    <row r="27" spans="1:7" ht="16.5" x14ac:dyDescent="0.3">
      <c r="A27" s="59" t="s">
        <v>18</v>
      </c>
      <c r="B27" s="60"/>
      <c r="C27" s="60"/>
      <c r="D27" s="60"/>
      <c r="E27" s="60"/>
      <c r="F27" s="60"/>
      <c r="G27" s="60"/>
    </row>
    <row r="28" spans="1:7" ht="16.5" x14ac:dyDescent="0.3">
      <c r="A28" s="39" t="s">
        <v>19</v>
      </c>
      <c r="B28" s="42" t="s">
        <v>4</v>
      </c>
      <c r="C28" s="42" t="s">
        <v>5</v>
      </c>
      <c r="D28" s="42" t="s">
        <v>6</v>
      </c>
      <c r="E28" s="43" t="s">
        <v>7</v>
      </c>
      <c r="F28" s="42" t="s">
        <v>8</v>
      </c>
      <c r="G28" s="42" t="s">
        <v>9</v>
      </c>
    </row>
    <row r="29" spans="1:7" ht="16.5" x14ac:dyDescent="0.3">
      <c r="A29" s="39" t="s">
        <v>20</v>
      </c>
      <c r="B29" s="38">
        <v>2621</v>
      </c>
      <c r="C29" s="38">
        <v>3880</v>
      </c>
      <c r="D29" s="38">
        <v>2450</v>
      </c>
      <c r="E29" s="38">
        <f>IF($D$15=0,"-",D29/$D$15)</f>
        <v>5.1312840776604141E-2</v>
      </c>
      <c r="F29" s="38">
        <f>IF(D29=0,"-",D29/B29-1)</f>
        <v>-6.5242273941243822E-2</v>
      </c>
      <c r="G29" s="38">
        <f>IF(D29=0,"-",D29/C29-1)</f>
        <v>-0.36855670103092786</v>
      </c>
    </row>
    <row r="30" spans="1:7" ht="16.5" x14ac:dyDescent="0.3">
      <c r="A30" s="39" t="s">
        <v>21</v>
      </c>
      <c r="B30" s="38">
        <v>651</v>
      </c>
      <c r="C30" s="38">
        <v>2049</v>
      </c>
      <c r="D30" s="38">
        <v>450</v>
      </c>
      <c r="E30" s="38">
        <f>IF($D$15=0,"-",D30/$D$15)</f>
        <v>9.4248074895803523E-3</v>
      </c>
      <c r="F30" s="38">
        <f>IF(D30=0,"-",D30/B30-1)</f>
        <v>-0.30875576036866359</v>
      </c>
      <c r="G30" s="38">
        <f>IF(D30=0,"-",D30/C30-1)</f>
        <v>-0.78038067349926798</v>
      </c>
    </row>
    <row r="31" spans="1:7" ht="16.5" x14ac:dyDescent="0.3">
      <c r="A31" s="39" t="s">
        <v>22</v>
      </c>
      <c r="B31" s="38">
        <v>97</v>
      </c>
      <c r="C31" s="38">
        <v>232</v>
      </c>
      <c r="D31" s="38">
        <v>235</v>
      </c>
      <c r="E31" s="38">
        <f>IF($D$15=0,"-",D31/$D$15)</f>
        <v>4.9218439112252953E-3</v>
      </c>
      <c r="F31" s="38">
        <f>IF(D31=0,"-",D31/B31-1)</f>
        <v>1.4226804123711339</v>
      </c>
      <c r="G31" s="38">
        <f>IF(D31=0,"-",D31/C31-1)</f>
        <v>1.2931034482758674E-2</v>
      </c>
    </row>
    <row r="32" spans="1:7" ht="16.5" x14ac:dyDescent="0.3">
      <c r="A32" s="39" t="s">
        <v>22</v>
      </c>
      <c r="B32" s="38">
        <v>750</v>
      </c>
      <c r="C32" s="38">
        <v>716</v>
      </c>
      <c r="D32" s="38">
        <v>57</v>
      </c>
      <c r="E32" s="38">
        <f>IF($D$15=0,"-",D32/$D$15)</f>
        <v>1.193808948680178E-3</v>
      </c>
      <c r="F32" s="38">
        <f>IF(D32=0,"-",D32/B32-1)</f>
        <v>-0.92400000000000004</v>
      </c>
      <c r="G32" s="38">
        <f>IF(D32=0,"-",D32/C32-1)</f>
        <v>-0.92039106145251393</v>
      </c>
    </row>
    <row r="33" spans="1:7" ht="16.5" x14ac:dyDescent="0.3">
      <c r="A33" s="39" t="s">
        <v>23</v>
      </c>
      <c r="B33" s="38">
        <f>SUM(B29:B32)</f>
        <v>4119</v>
      </c>
      <c r="C33" s="38">
        <f>SUM(C29:C32)</f>
        <v>6877</v>
      </c>
      <c r="D33" s="38">
        <f>SUM(D29:D32)</f>
        <v>3192</v>
      </c>
      <c r="E33" s="38">
        <f>IF($D$15=0,"-",D33/$D$15)</f>
        <v>6.6853301126089962E-2</v>
      </c>
      <c r="F33" s="38">
        <f>IF(D33=0,"-",D33/B33-1)</f>
        <v>-0.22505462490895844</v>
      </c>
      <c r="G33" s="38">
        <f>IF(D33=0,"-",D33/C33-1)</f>
        <v>-0.53584411807474197</v>
      </c>
    </row>
    <row r="34" spans="1:7" ht="17.25" thickBot="1" x14ac:dyDescent="0.35">
      <c r="A34" s="39"/>
      <c r="B34" s="38"/>
      <c r="C34" s="38"/>
      <c r="D34" s="38"/>
      <c r="E34" s="38"/>
      <c r="F34" s="38"/>
      <c r="G34" s="38"/>
    </row>
    <row r="35" spans="1:7" ht="17.25" thickBot="1" x14ac:dyDescent="0.35">
      <c r="A35" s="39" t="s">
        <v>24</v>
      </c>
      <c r="B35" s="61" t="s">
        <v>4</v>
      </c>
      <c r="C35" s="61" t="s">
        <v>5</v>
      </c>
      <c r="D35" s="61" t="s">
        <v>6</v>
      </c>
      <c r="E35" s="62" t="s">
        <v>7</v>
      </c>
      <c r="F35" s="61" t="s">
        <v>8</v>
      </c>
      <c r="G35" s="63" t="s">
        <v>9</v>
      </c>
    </row>
    <row r="36" spans="1:7" ht="17.25" thickTop="1" x14ac:dyDescent="0.3">
      <c r="A36" s="39" t="s">
        <v>25</v>
      </c>
      <c r="B36" s="38">
        <v>9637</v>
      </c>
      <c r="C36" s="38">
        <v>8434</v>
      </c>
      <c r="D36" s="38">
        <v>80</v>
      </c>
      <c r="E36" s="38">
        <f>IF($D$15=0,"-",D36/$D$15)</f>
        <v>1.6755213314809515E-3</v>
      </c>
      <c r="F36" s="38">
        <f>IF(D36=0,"-",D36/B36-1)</f>
        <v>-0.99169866140915219</v>
      </c>
      <c r="G36" s="38">
        <f>IF(D36=0,"-",D36/C36-1)</f>
        <v>-0.99051458382736546</v>
      </c>
    </row>
    <row r="37" spans="1:7" ht="16.5" x14ac:dyDescent="0.3">
      <c r="A37" s="39" t="s">
        <v>26</v>
      </c>
      <c r="B37" s="38">
        <v>4662</v>
      </c>
      <c r="C37" s="38">
        <v>4121</v>
      </c>
      <c r="D37" s="38">
        <v>55</v>
      </c>
      <c r="E37" s="38">
        <f>D37/$D$15</f>
        <v>1.1519209153931541E-3</v>
      </c>
      <c r="F37" s="38">
        <f>IF(D37=0,"-",D37/B37-1)</f>
        <v>-0.98820248820248824</v>
      </c>
      <c r="G37" s="38">
        <f>IF(D37=0,"-",D37/C37-1)</f>
        <v>-0.98665372482407188</v>
      </c>
    </row>
    <row r="38" spans="1:7" ht="16.5" x14ac:dyDescent="0.3">
      <c r="A38" s="39" t="s">
        <v>22</v>
      </c>
      <c r="B38" s="38">
        <v>7804</v>
      </c>
      <c r="C38" s="38">
        <v>7663</v>
      </c>
      <c r="D38" s="38">
        <v>75</v>
      </c>
      <c r="E38" s="38">
        <f>IF($D$15=0,"-",D38/$D$15)</f>
        <v>1.5708012482633922E-3</v>
      </c>
      <c r="F38" s="38">
        <f>IF(D38=0,"-",D38/B38-1)</f>
        <v>-0.99038954382368016</v>
      </c>
      <c r="G38" s="38">
        <f>IF(D38=0,"-",D38/C38-1)</f>
        <v>-0.99021271042672587</v>
      </c>
    </row>
    <row r="39" spans="1:7" ht="16.5" x14ac:dyDescent="0.3">
      <c r="A39" s="39" t="s">
        <v>22</v>
      </c>
      <c r="B39" s="38">
        <v>521</v>
      </c>
      <c r="C39" s="38">
        <v>470</v>
      </c>
      <c r="D39" s="38">
        <v>50</v>
      </c>
      <c r="E39" s="38">
        <f>IF($D$15=0,"-",D39/$D$15)</f>
        <v>1.0472008321755948E-3</v>
      </c>
      <c r="F39" s="38">
        <f>IF(D39=0,"-",D39/B39-1)</f>
        <v>-0.90403071017274472</v>
      </c>
      <c r="G39" s="38">
        <f>IF(D39=0,"-",D39/C39-1)</f>
        <v>-0.8936170212765957</v>
      </c>
    </row>
    <row r="40" spans="1:7" ht="16.5" x14ac:dyDescent="0.3">
      <c r="A40" s="39" t="s">
        <v>27</v>
      </c>
      <c r="B40" s="38">
        <f>SUM(B35:B39)</f>
        <v>22624</v>
      </c>
      <c r="C40" s="38">
        <f>SUM(C36:C39)</f>
        <v>20688</v>
      </c>
      <c r="D40" s="38">
        <f>SUM(D36:D39)</f>
        <v>260</v>
      </c>
      <c r="E40" s="38">
        <f>IF($D$15=0,"-",D40/$D$15)</f>
        <v>5.4454443273130922E-3</v>
      </c>
      <c r="F40" s="38">
        <f>IF(D40=0,"-",D40/B40-1)</f>
        <v>-0.98850777934936351</v>
      </c>
      <c r="G40" s="38">
        <f>IF(D40=0,"-",D40/C40-1)</f>
        <v>-0.98743232791956692</v>
      </c>
    </row>
    <row r="41" spans="1:7" ht="16.5" x14ac:dyDescent="0.3">
      <c r="A41" s="39"/>
      <c r="B41" s="38"/>
      <c r="C41" s="38"/>
      <c r="D41" s="38"/>
      <c r="E41" s="38"/>
      <c r="F41" s="38"/>
      <c r="G41" s="38"/>
    </row>
    <row r="42" spans="1:7" ht="16.5" x14ac:dyDescent="0.3">
      <c r="A42" s="64" t="s">
        <v>28</v>
      </c>
      <c r="B42" s="65">
        <v>852</v>
      </c>
      <c r="C42" s="65">
        <v>958</v>
      </c>
      <c r="D42" s="65">
        <v>975</v>
      </c>
      <c r="E42" s="65">
        <f t="shared" ref="E42:E54" si="6">IF($D$15=0,"-",D42/$D$15)</f>
        <v>2.0420416227424097E-2</v>
      </c>
      <c r="F42" s="65">
        <f t="shared" ref="F42:F54" si="7">IF(D42=0,"-",D42/B42-1)</f>
        <v>0.14436619718309851</v>
      </c>
      <c r="G42" s="65">
        <f t="shared" ref="G42:G54" si="8">IF(D42=0,"-",D42/C42-1)</f>
        <v>1.7745302713987554E-2</v>
      </c>
    </row>
    <row r="43" spans="1:7" ht="16.5" x14ac:dyDescent="0.3">
      <c r="A43" s="39" t="s">
        <v>29</v>
      </c>
      <c r="B43" s="38">
        <v>67</v>
      </c>
      <c r="C43" s="38">
        <v>52</v>
      </c>
      <c r="D43" s="38">
        <v>90</v>
      </c>
      <c r="E43" s="38">
        <f t="shared" si="6"/>
        <v>1.8849614979160705E-3</v>
      </c>
      <c r="F43" s="38">
        <f t="shared" si="7"/>
        <v>0.34328358208955234</v>
      </c>
      <c r="G43" s="38">
        <f t="shared" si="8"/>
        <v>0.73076923076923084</v>
      </c>
    </row>
    <row r="44" spans="1:7" ht="16.5" x14ac:dyDescent="0.3">
      <c r="A44" s="39" t="s">
        <v>30</v>
      </c>
      <c r="B44" s="38">
        <v>50</v>
      </c>
      <c r="C44" s="38">
        <v>72</v>
      </c>
      <c r="D44" s="38">
        <v>6</v>
      </c>
      <c r="E44" s="38">
        <f t="shared" si="6"/>
        <v>1.2566409986107137E-4</v>
      </c>
      <c r="F44" s="38">
        <f t="shared" si="7"/>
        <v>-0.88</v>
      </c>
      <c r="G44" s="38">
        <f>-IF(D44=0,"-",D44/C44-1)</f>
        <v>0.91666666666666663</v>
      </c>
    </row>
    <row r="45" spans="1:7" ht="16.5" x14ac:dyDescent="0.3">
      <c r="A45" s="39" t="s">
        <v>31</v>
      </c>
      <c r="B45" s="38">
        <v>70</v>
      </c>
      <c r="C45" s="38">
        <v>110</v>
      </c>
      <c r="D45" s="38">
        <v>65</v>
      </c>
      <c r="E45" s="38">
        <f t="shared" si="6"/>
        <v>1.3613610818282731E-3</v>
      </c>
      <c r="F45" s="38">
        <f t="shared" si="7"/>
        <v>-7.1428571428571397E-2</v>
      </c>
      <c r="G45" s="38">
        <f>-IF(D45=0,"-",D45/C45-1)</f>
        <v>0.40909090909090906</v>
      </c>
    </row>
    <row r="46" spans="1:7" ht="16.5" x14ac:dyDescent="0.3">
      <c r="A46" s="39" t="s">
        <v>32</v>
      </c>
      <c r="B46" s="38">
        <v>179</v>
      </c>
      <c r="C46" s="38">
        <v>202</v>
      </c>
      <c r="D46" s="38">
        <v>190</v>
      </c>
      <c r="E46" s="38">
        <f t="shared" si="6"/>
        <v>3.97936316226726E-3</v>
      </c>
      <c r="F46" s="38">
        <f t="shared" si="7"/>
        <v>6.1452513966480549E-2</v>
      </c>
      <c r="G46" s="38">
        <f>-IF(D46=0,"-",D46/C46-1)</f>
        <v>5.9405940594059459E-2</v>
      </c>
    </row>
    <row r="47" spans="1:7" ht="16.5" x14ac:dyDescent="0.3">
      <c r="A47" s="39" t="s">
        <v>33</v>
      </c>
      <c r="B47" s="38">
        <v>5698</v>
      </c>
      <c r="C47" s="38">
        <v>5428</v>
      </c>
      <c r="D47" s="38">
        <v>5700</v>
      </c>
      <c r="E47" s="38">
        <f t="shared" si="6"/>
        <v>0.1193808948680178</v>
      </c>
      <c r="F47" s="38">
        <f t="shared" si="7"/>
        <v>3.5100035100033011E-4</v>
      </c>
      <c r="G47" s="38">
        <f>-IF(D47=0,"-",D47/C47-1)</f>
        <v>-5.0110537951363332E-2</v>
      </c>
    </row>
    <row r="48" spans="1:7" ht="16.5" x14ac:dyDescent="0.3">
      <c r="A48" s="39" t="s">
        <v>34</v>
      </c>
      <c r="B48" s="38">
        <v>45</v>
      </c>
      <c r="C48" s="38">
        <v>53</v>
      </c>
      <c r="D48" s="38">
        <v>44</v>
      </c>
      <c r="E48" s="38">
        <f t="shared" si="6"/>
        <v>9.215367323145234E-4</v>
      </c>
      <c r="F48" s="38">
        <f t="shared" si="7"/>
        <v>-2.2222222222222254E-2</v>
      </c>
      <c r="G48" s="38">
        <f t="shared" si="8"/>
        <v>-0.16981132075471694</v>
      </c>
    </row>
    <row r="49" spans="1:7" ht="16.5" x14ac:dyDescent="0.3">
      <c r="A49" s="39" t="s">
        <v>35</v>
      </c>
      <c r="B49" s="38">
        <v>521</v>
      </c>
      <c r="C49" s="38">
        <v>701</v>
      </c>
      <c r="D49" s="38">
        <v>654</v>
      </c>
      <c r="E49" s="38">
        <v>1.0650656301899999E-2</v>
      </c>
      <c r="F49" s="38">
        <f t="shared" si="7"/>
        <v>0.25527831094049902</v>
      </c>
      <c r="G49" s="38">
        <f t="shared" si="8"/>
        <v>-6.7047075606276763E-2</v>
      </c>
    </row>
    <row r="50" spans="1:7" ht="16.5" x14ac:dyDescent="0.3">
      <c r="A50" s="39" t="s">
        <v>36</v>
      </c>
      <c r="B50" s="38">
        <v>2060</v>
      </c>
      <c r="C50" s="38">
        <v>1982</v>
      </c>
      <c r="D50" s="38">
        <v>1990</v>
      </c>
      <c r="E50" s="38">
        <f t="shared" si="6"/>
        <v>4.1678593120588671E-2</v>
      </c>
      <c r="F50" s="38">
        <f t="shared" si="7"/>
        <v>-3.398058252427183E-2</v>
      </c>
      <c r="G50" s="38">
        <f t="shared" si="8"/>
        <v>4.0363269424823489E-3</v>
      </c>
    </row>
    <row r="51" spans="1:7" ht="16.5" x14ac:dyDescent="0.3">
      <c r="A51" s="39" t="s">
        <v>37</v>
      </c>
      <c r="B51" s="38">
        <v>205</v>
      </c>
      <c r="C51" s="38">
        <v>210</v>
      </c>
      <c r="D51" s="38">
        <v>220</v>
      </c>
      <c r="E51" s="38">
        <f t="shared" si="6"/>
        <v>4.6076836615726166E-3</v>
      </c>
      <c r="F51" s="38">
        <f t="shared" si="7"/>
        <v>7.3170731707317138E-2</v>
      </c>
      <c r="G51" s="38">
        <v>-4.5248868778280001E-3</v>
      </c>
    </row>
    <row r="52" spans="1:7" ht="16.5" x14ac:dyDescent="0.3">
      <c r="A52" s="39" t="s">
        <v>38</v>
      </c>
      <c r="B52" s="38">
        <v>527</v>
      </c>
      <c r="C52" s="38">
        <v>425</v>
      </c>
      <c r="D52" s="38">
        <v>500</v>
      </c>
      <c r="E52" s="38">
        <f t="shared" si="6"/>
        <v>1.0472008321755948E-2</v>
      </c>
      <c r="F52" s="38">
        <f t="shared" si="7"/>
        <v>-5.1233396584440261E-2</v>
      </c>
      <c r="G52" s="38">
        <f t="shared" si="8"/>
        <v>0.17647058823529416</v>
      </c>
    </row>
    <row r="53" spans="1:7" ht="16.5" x14ac:dyDescent="0.3">
      <c r="A53" s="39" t="s">
        <v>22</v>
      </c>
      <c r="B53" s="38">
        <v>70</v>
      </c>
      <c r="C53" s="38">
        <v>58</v>
      </c>
      <c r="D53" s="38">
        <v>68</v>
      </c>
      <c r="E53" s="38">
        <f t="shared" si="6"/>
        <v>1.4241931317588088E-3</v>
      </c>
      <c r="F53" s="38">
        <f t="shared" si="7"/>
        <v>-2.8571428571428581E-2</v>
      </c>
      <c r="G53" s="38">
        <f t="shared" si="8"/>
        <v>0.17241379310344818</v>
      </c>
    </row>
    <row r="54" spans="1:7" ht="16.5" x14ac:dyDescent="0.3">
      <c r="A54" s="39" t="s">
        <v>39</v>
      </c>
      <c r="B54" s="38">
        <f>SUM(B43:B53)</f>
        <v>9492</v>
      </c>
      <c r="C54" s="38">
        <f>SUM(C43:C53)</f>
        <v>9293</v>
      </c>
      <c r="D54" s="38">
        <f>SUM(D42:D53)+900</f>
        <v>11402</v>
      </c>
      <c r="E54" s="38">
        <f t="shared" si="6"/>
        <v>0.23880367776932263</v>
      </c>
      <c r="F54" s="38">
        <f t="shared" si="7"/>
        <v>0.20122208175305523</v>
      </c>
      <c r="G54" s="38">
        <f t="shared" si="8"/>
        <v>0.22694501237490594</v>
      </c>
    </row>
    <row r="55" spans="1:7" ht="16.5" x14ac:dyDescent="0.3">
      <c r="A55" s="39"/>
      <c r="B55" s="38"/>
      <c r="C55" s="38"/>
      <c r="D55" s="38"/>
      <c r="E55" s="38"/>
      <c r="F55" s="38"/>
      <c r="G55" s="38"/>
    </row>
    <row r="56" spans="1:7" ht="16.5" x14ac:dyDescent="0.3">
      <c r="A56" s="39"/>
      <c r="B56" s="38"/>
      <c r="C56" s="38"/>
      <c r="D56" s="38"/>
      <c r="E56" s="38"/>
      <c r="F56" s="38"/>
      <c r="G56" s="38"/>
    </row>
    <row r="57" spans="1:7" ht="16.5" x14ac:dyDescent="0.3">
      <c r="A57" s="39" t="s">
        <v>40</v>
      </c>
      <c r="B57" s="38">
        <f>B33+B40+B54</f>
        <v>36235</v>
      </c>
      <c r="C57" s="38">
        <f>C33+C40+C54</f>
        <v>36858</v>
      </c>
      <c r="D57" s="38">
        <f>D33+D40+D54</f>
        <v>14854</v>
      </c>
      <c r="E57" s="38">
        <f>IF($D$15=0,"-",D57/$D$15)</f>
        <v>0.31110242322272569</v>
      </c>
      <c r="F57" s="38">
        <f>IF(D57=0,"-",D57/B57-1)</f>
        <v>-0.59006485442251966</v>
      </c>
      <c r="G57" s="38">
        <f>IF(D57=0,"-",D57/C57-1)</f>
        <v>-0.59699386835965051</v>
      </c>
    </row>
    <row r="58" spans="1:7" ht="16.5" x14ac:dyDescent="0.3">
      <c r="A58" s="39"/>
      <c r="B58" s="38"/>
      <c r="C58" s="38"/>
      <c r="D58" s="38"/>
      <c r="E58" s="38"/>
      <c r="F58" s="38"/>
      <c r="G58" s="38"/>
    </row>
    <row r="59" spans="1:7" ht="16.5" x14ac:dyDescent="0.3">
      <c r="A59" s="39" t="s">
        <v>41</v>
      </c>
      <c r="B59" s="38">
        <f>B25-B57</f>
        <v>84695</v>
      </c>
      <c r="C59" s="38">
        <f>C25-C57</f>
        <v>57173</v>
      </c>
      <c r="D59" s="38">
        <f>D25-D57</f>
        <v>25280.333333333328</v>
      </c>
      <c r="E59" s="38">
        <f>IF($D$15=0,"-",D59/$D$15)</f>
        <v>0.52947172208686177</v>
      </c>
      <c r="F59" s="38">
        <f>IF(B59=0,"-",IF(B59=D59,"0.0%",IF(D59&gt;B59,ABS((D59/B59)-1),IF(AND(D59&lt;B59,B59&lt;0),-((D59/B59)-1),(D59/B59)-1))))</f>
        <v>-0.70151327311726397</v>
      </c>
      <c r="G59" s="38">
        <f>IF(C59=0,"-",IF(C59=D59,"0.0%",IF(D59&gt;C59,ABS((D59/C59)-1),IF(AND(D59&lt;C59,C59&lt;0),-((D59/C59)-1),(D59/C59)-1))))</f>
        <v>-0.55782741270646408</v>
      </c>
    </row>
    <row r="60" spans="1:7" ht="16.5" x14ac:dyDescent="0.3">
      <c r="A60" s="39"/>
      <c r="B60" s="38"/>
      <c r="C60" s="38"/>
      <c r="D60" s="38"/>
      <c r="E60" s="38"/>
      <c r="F60" s="38"/>
      <c r="G60" s="38"/>
    </row>
    <row r="61" spans="1:7" ht="16.5" x14ac:dyDescent="0.3">
      <c r="A61" s="39" t="s">
        <v>42</v>
      </c>
      <c r="B61" s="38">
        <f>CASH_FLOW!C24</f>
        <v>76640</v>
      </c>
      <c r="C61" s="38">
        <v>80000</v>
      </c>
      <c r="D61" s="38">
        <f>CASH_FLOW!D24</f>
        <v>84992</v>
      </c>
      <c r="E61" s="38">
        <f>IF($D$15=0,"-",D61/$D$15)</f>
        <v>1.7800738625653629</v>
      </c>
      <c r="F61" s="38">
        <f>IF(D61=0,"-",D61/B61-1)</f>
        <v>0.10897703549060545</v>
      </c>
      <c r="G61" s="38">
        <f>IF(D61=0,"-",D61/C61-1)</f>
        <v>6.2400000000000011E-2</v>
      </c>
    </row>
    <row r="62" spans="1:7" ht="16.5" x14ac:dyDescent="0.3">
      <c r="A62" s="41"/>
      <c r="B62" s="38"/>
      <c r="C62" s="38"/>
      <c r="D62" s="38"/>
      <c r="E62" s="38"/>
      <c r="F62" s="38"/>
      <c r="G62" s="38"/>
    </row>
    <row r="63" spans="1:7" ht="16.5" x14ac:dyDescent="0.3">
      <c r="A63" s="39" t="s">
        <v>43</v>
      </c>
      <c r="B63" s="38">
        <v>1500</v>
      </c>
      <c r="C63" s="38">
        <v>1800</v>
      </c>
      <c r="D63" s="38">
        <v>2000</v>
      </c>
      <c r="E63" s="38">
        <f t="shared" ref="E63:E68" si="9">IF($D$15=0,"-",D63/$D$15)</f>
        <v>4.1888033287023792E-2</v>
      </c>
      <c r="F63" s="38">
        <v>0.33300000000000002</v>
      </c>
      <c r="G63" s="38">
        <f t="shared" ref="G63:G68" si="10">IF(D63=0,"-",D63/C63-1)</f>
        <v>0.11111111111111116</v>
      </c>
    </row>
    <row r="64" spans="1:7" ht="16.5" x14ac:dyDescent="0.3">
      <c r="A64" s="39" t="s">
        <v>44</v>
      </c>
      <c r="B64" s="38">
        <v>2700</v>
      </c>
      <c r="C64" s="38">
        <v>3000</v>
      </c>
      <c r="D64" s="38">
        <v>3100</v>
      </c>
      <c r="E64" s="38">
        <f t="shared" si="9"/>
        <v>6.4926451594886872E-2</v>
      </c>
      <c r="F64" s="38">
        <f>IF(D64=0,"-",D64/B64-1)</f>
        <v>0.14814814814814814</v>
      </c>
      <c r="G64" s="38">
        <f t="shared" si="10"/>
        <v>3.3333333333333437E-2</v>
      </c>
    </row>
    <row r="65" spans="1:7" ht="16.5" x14ac:dyDescent="0.3">
      <c r="A65" s="39" t="s">
        <v>45</v>
      </c>
      <c r="B65" s="38">
        <v>100</v>
      </c>
      <c r="C65" s="38">
        <v>90</v>
      </c>
      <c r="D65" s="38">
        <v>100</v>
      </c>
      <c r="E65" s="38">
        <f t="shared" si="9"/>
        <v>2.0944016643511896E-3</v>
      </c>
      <c r="F65" s="38">
        <f>IF(D65=0,"-",D65/B65-1)</f>
        <v>0</v>
      </c>
      <c r="G65" s="38">
        <f t="shared" si="10"/>
        <v>0.11111111111111116</v>
      </c>
    </row>
    <row r="66" spans="1:7" ht="16.5" x14ac:dyDescent="0.3">
      <c r="A66" s="39" t="s">
        <v>46</v>
      </c>
      <c r="B66" s="38">
        <v>6</v>
      </c>
      <c r="C66" s="38">
        <v>5</v>
      </c>
      <c r="D66" s="38">
        <v>4</v>
      </c>
      <c r="E66" s="38">
        <f t="shared" si="9"/>
        <v>8.3776066574047577E-5</v>
      </c>
      <c r="F66" s="38">
        <f>IF(D66=0,"-",D66/B66-1)</f>
        <v>-0.33333333333333337</v>
      </c>
      <c r="G66" s="38">
        <f t="shared" si="10"/>
        <v>-0.19999999999999996</v>
      </c>
    </row>
    <row r="67" spans="1:7" ht="16.5" x14ac:dyDescent="0.3">
      <c r="A67" s="39" t="s">
        <v>47</v>
      </c>
      <c r="B67" s="38">
        <v>25</v>
      </c>
      <c r="C67" s="38">
        <v>15</v>
      </c>
      <c r="D67" s="38">
        <v>7</v>
      </c>
      <c r="E67" s="38">
        <f t="shared" si="9"/>
        <v>1.4660811650458327E-4</v>
      </c>
      <c r="F67" s="38">
        <f>IF(D67=0,"-",D67/B67-1)</f>
        <v>-0.72</v>
      </c>
      <c r="G67" s="38">
        <f t="shared" si="10"/>
        <v>-0.53333333333333333</v>
      </c>
    </row>
    <row r="68" spans="1:7" ht="16.5" x14ac:dyDescent="0.3">
      <c r="A68" s="39" t="s">
        <v>47</v>
      </c>
      <c r="B68" s="38">
        <f>SUM(B63:B67)</f>
        <v>4331</v>
      </c>
      <c r="C68" s="38">
        <f>SUM(C63:C67)</f>
        <v>4910</v>
      </c>
      <c r="D68" s="38">
        <f>SUM(D63:D67)</f>
        <v>5211</v>
      </c>
      <c r="E68" s="38">
        <f t="shared" si="9"/>
        <v>0.10913927072934049</v>
      </c>
      <c r="F68" s="38">
        <f>IF(D68=0,"-",D68/B68-1)</f>
        <v>0.20318633110136219</v>
      </c>
      <c r="G68" s="38">
        <f t="shared" si="10"/>
        <v>6.130346232179229E-2</v>
      </c>
    </row>
    <row r="69" spans="1:7" ht="16.5" x14ac:dyDescent="0.3">
      <c r="A69" s="39" t="s">
        <v>48</v>
      </c>
      <c r="B69" s="38"/>
      <c r="C69" s="38"/>
      <c r="D69" s="38"/>
      <c r="E69" s="38"/>
      <c r="F69" s="38"/>
      <c r="G69" s="38"/>
    </row>
    <row r="70" spans="1:7" ht="16.5" x14ac:dyDescent="0.3">
      <c r="A70" s="39"/>
      <c r="B70" s="38" t="e">
        <f>B59+B61-B68/E70</f>
        <v>#DIV/0!</v>
      </c>
      <c r="C70" s="38">
        <f>C59+C61-C68</f>
        <v>132263</v>
      </c>
      <c r="D70" s="38">
        <f>D59+D61-D68</f>
        <v>105061.33333333333</v>
      </c>
      <c r="E70" s="38" t="e">
        <f>IF($D$15=0,"-",D70/E69)</f>
        <v>#DIV/0!</v>
      </c>
      <c r="F70" s="38" t="e">
        <f>IF(B70=0,"-",IF(B70=D70,"0.0%",IF(D70&gt;B70,ABS((D70/B70)-1),IF(AND(D70&lt;B70,B70&lt;0),-((D70/B70)-1),(D70/B70)-1))))</f>
        <v>#DIV/0!</v>
      </c>
      <c r="G70" s="38">
        <f>IF(C70=0,"-",IF(C70=D70,"0.0%",IF(D70&gt;C70,ABS((D70/C70)-1),IF(AND(D70&lt;C70,C70&lt;0),-((D70/C70)-1),(D70/C70)-1))))</f>
        <v>-0.2056634634528679</v>
      </c>
    </row>
    <row r="71" spans="1:7" ht="16.5" x14ac:dyDescent="0.3">
      <c r="A71" s="39" t="s">
        <v>49</v>
      </c>
      <c r="B71" s="38"/>
      <c r="C71" s="38"/>
      <c r="D71" s="38"/>
      <c r="E71" s="38"/>
      <c r="F71" s="38"/>
      <c r="G71" s="38"/>
    </row>
    <row r="72" spans="1:7" ht="16.5" x14ac:dyDescent="0.3">
      <c r="A72" s="38"/>
      <c r="B72" s="38"/>
      <c r="C72" s="38"/>
      <c r="D72" s="38"/>
      <c r="E72" s="38"/>
      <c r="F72" s="38"/>
      <c r="G72" s="38"/>
    </row>
    <row r="73" spans="1:7" ht="16.5" x14ac:dyDescent="0.3">
      <c r="A73" s="38"/>
      <c r="B73" s="38"/>
      <c r="C73" s="38"/>
      <c r="D73" s="38"/>
      <c r="E73" s="38"/>
      <c r="F73" s="38"/>
      <c r="G73" s="38"/>
    </row>
    <row r="74" spans="1:7" ht="16.5" x14ac:dyDescent="0.3">
      <c r="A74" s="38"/>
      <c r="B74" s="38"/>
      <c r="C74" s="38"/>
      <c r="D74" s="38"/>
      <c r="E74" s="38"/>
      <c r="F74" s="38"/>
      <c r="G74" s="38"/>
    </row>
    <row r="75" spans="1:7" ht="16.5" x14ac:dyDescent="0.3">
      <c r="A75" s="38"/>
      <c r="B75" s="38"/>
      <c r="C75" s="38"/>
      <c r="D75" s="38"/>
      <c r="E75" s="38"/>
      <c r="F75" s="38"/>
      <c r="G75" s="38"/>
    </row>
  </sheetData>
  <customSheetViews>
    <customSheetView guid="{8A6DCCC5-D866-46E7-B008-2AB15BA7B0AA}" colorId="55" topLeftCell="A2">
      <selection activeCell="E10" sqref="E10"/>
      <pageMargins left="0.7" right="0.7" top="0.75" bottom="0.75" header="0.3" footer="0.3"/>
      <pageSetup orientation="portrait" horizontalDpi="1200" verticalDpi="1200" r:id="rId1"/>
    </customSheetView>
    <customSheetView guid="{2BB9D149-3035-471F-8023-B102C129B036}" colorId="55" topLeftCell="A2">
      <selection activeCell="D8" sqref="D8"/>
    </customSheetView>
  </customSheetViews>
  <phoneticPr fontId="2" type="noConversion"/>
  <pageMargins left="0.7" right="0.7" top="0.75" bottom="0.75" header="0.3" footer="0.3"/>
  <pageSetup orientation="portrait" horizontalDpi="1200" verticalDpi="12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1" r:id="rId5" name="Button 5">
              <controlPr defaultSize="0" print="0" autoFill="0" autoPict="0" macro="[0]!UpdateValues">
                <anchor moveWithCells="1">
                  <from>
                    <xdr:col>4</xdr:col>
                    <xdr:colOff>990600</xdr:colOff>
                    <xdr:row>2</xdr:row>
                    <xdr:rowOff>95250</xdr:rowOff>
                  </from>
                  <to>
                    <xdr:col>5</xdr:col>
                    <xdr:colOff>923925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5">
    <tablePart r:id="rId6"/>
    <tablePart r:id="rId7"/>
    <tablePart r:id="rId8"/>
    <tablePart r:id="rId9"/>
    <tablePart r:id="rId10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63"/>
  <sheetViews>
    <sheetView workbookViewId="0">
      <selection activeCell="G19" sqref="G19"/>
    </sheetView>
  </sheetViews>
  <sheetFormatPr defaultColWidth="21.625" defaultRowHeight="15" customHeight="1" x14ac:dyDescent="0.3"/>
  <cols>
    <col min="1" max="1" width="2.875" customWidth="1"/>
    <col min="2" max="2" width="42.875" customWidth="1"/>
    <col min="3" max="3" width="22.875" customWidth="1"/>
    <col min="4" max="4" width="17.875" customWidth="1"/>
  </cols>
  <sheetData>
    <row r="1" spans="1:7" ht="16.5" x14ac:dyDescent="0.3">
      <c r="A1" s="70"/>
      <c r="B1" s="71"/>
      <c r="C1" s="71"/>
      <c r="D1" s="71"/>
      <c r="E1" s="49"/>
      <c r="F1" s="49"/>
      <c r="G1" s="49"/>
    </row>
    <row r="2" spans="1:7" ht="16.5" hidden="1" x14ac:dyDescent="0.3">
      <c r="A2" s="70" t="s">
        <v>50</v>
      </c>
      <c r="B2" s="71"/>
      <c r="C2" s="71"/>
      <c r="D2" s="71"/>
      <c r="E2" s="49"/>
      <c r="F2" s="49"/>
      <c r="G2" s="49"/>
    </row>
    <row r="3" spans="1:7" ht="16.5" hidden="1" x14ac:dyDescent="0.3">
      <c r="A3" s="70"/>
      <c r="B3" s="71"/>
      <c r="C3" s="71"/>
      <c r="D3" s="71"/>
      <c r="E3" s="49"/>
      <c r="F3" s="49"/>
      <c r="G3" s="49"/>
    </row>
    <row r="4" spans="1:7" ht="16.5" hidden="1" x14ac:dyDescent="0.3">
      <c r="A4" s="70" t="s">
        <v>84</v>
      </c>
      <c r="B4" s="71"/>
      <c r="C4" s="71"/>
      <c r="D4" s="71"/>
      <c r="E4" s="49"/>
      <c r="F4" s="49"/>
      <c r="G4" s="49"/>
    </row>
    <row r="5" spans="1:7" ht="16.5" hidden="1" x14ac:dyDescent="0.3">
      <c r="A5" s="70" t="s">
        <v>52</v>
      </c>
      <c r="B5" s="71"/>
      <c r="C5" s="71"/>
      <c r="D5" s="71"/>
      <c r="E5" s="49"/>
      <c r="F5" s="49"/>
      <c r="G5" s="49"/>
    </row>
    <row r="6" spans="1:7" ht="16.5" hidden="1" x14ac:dyDescent="0.3">
      <c r="A6" s="70" t="s">
        <v>50</v>
      </c>
      <c r="B6" s="71"/>
      <c r="C6" s="71"/>
      <c r="D6" s="71"/>
      <c r="E6" s="49"/>
      <c r="F6" s="49"/>
      <c r="G6" s="49"/>
    </row>
    <row r="7" spans="1:7" ht="16.5" hidden="1" x14ac:dyDescent="0.3">
      <c r="A7" s="49"/>
      <c r="B7" s="49" t="s">
        <v>85</v>
      </c>
      <c r="C7" s="49"/>
      <c r="D7" s="49"/>
      <c r="E7" s="49"/>
      <c r="F7" s="49"/>
      <c r="G7" s="49"/>
    </row>
    <row r="8" spans="1:7" ht="16.5" hidden="1" x14ac:dyDescent="0.3">
      <c r="A8" s="49"/>
      <c r="B8" s="49"/>
      <c r="C8" s="49"/>
      <c r="D8" s="49"/>
      <c r="E8" s="49"/>
      <c r="F8" s="49"/>
      <c r="G8" s="49"/>
    </row>
    <row r="9" spans="1:7" ht="16.5" x14ac:dyDescent="0.3">
      <c r="A9" s="49"/>
      <c r="B9" s="49" t="s">
        <v>50</v>
      </c>
      <c r="C9" s="49" t="s">
        <v>56</v>
      </c>
      <c r="D9" s="49"/>
      <c r="E9" s="49"/>
      <c r="F9" s="49"/>
      <c r="G9" s="49"/>
    </row>
    <row r="10" spans="1:7" ht="16.5" x14ac:dyDescent="0.3">
      <c r="A10" s="49"/>
      <c r="B10" s="49" t="s">
        <v>50</v>
      </c>
      <c r="C10" s="49" t="s">
        <v>86</v>
      </c>
      <c r="D10" s="49"/>
      <c r="E10" s="49"/>
      <c r="F10" s="49"/>
      <c r="G10" s="49"/>
    </row>
    <row r="11" spans="1:7" ht="16.5" x14ac:dyDescent="0.3">
      <c r="A11" s="49"/>
      <c r="B11" s="49"/>
      <c r="C11" s="49"/>
      <c r="D11" s="49"/>
      <c r="E11" s="49"/>
      <c r="F11" s="49"/>
      <c r="G11" s="49"/>
    </row>
    <row r="12" spans="1:7" ht="16.5" x14ac:dyDescent="0.3">
      <c r="A12" s="49"/>
      <c r="B12" s="49" t="s">
        <v>50</v>
      </c>
      <c r="C12" s="49">
        <v>2005</v>
      </c>
      <c r="D12" s="49">
        <v>2006</v>
      </c>
      <c r="E12" s="49"/>
      <c r="F12" s="49"/>
      <c r="G12" s="49"/>
    </row>
    <row r="13" spans="1:7" ht="16.5" x14ac:dyDescent="0.3">
      <c r="A13" s="49"/>
      <c r="B13" s="49"/>
      <c r="C13" s="49"/>
      <c r="D13" s="49"/>
      <c r="E13" s="49"/>
      <c r="F13" s="49"/>
      <c r="G13" s="49"/>
    </row>
    <row r="14" spans="1:7" ht="16.5" x14ac:dyDescent="0.3">
      <c r="A14" s="49"/>
      <c r="B14" s="49" t="s">
        <v>50</v>
      </c>
      <c r="C14" s="49" t="s">
        <v>87</v>
      </c>
      <c r="D14" s="49"/>
      <c r="E14" s="49"/>
      <c r="F14" s="49"/>
      <c r="G14" s="49"/>
    </row>
    <row r="15" spans="1:7" ht="16.5" x14ac:dyDescent="0.3">
      <c r="A15" s="49"/>
      <c r="B15" s="49" t="s">
        <v>50</v>
      </c>
      <c r="C15" s="49" t="s">
        <v>62</v>
      </c>
      <c r="D15" s="49"/>
      <c r="E15" s="54">
        <f>[3]Sheet1!$C$10</f>
        <v>74258242</v>
      </c>
      <c r="F15" s="49"/>
      <c r="G15" s="49"/>
    </row>
    <row r="16" spans="1:7" ht="16.5" x14ac:dyDescent="0.3">
      <c r="A16" s="49"/>
      <c r="B16" s="49" t="s">
        <v>88</v>
      </c>
      <c r="C16" s="49"/>
      <c r="D16" s="49"/>
      <c r="E16" s="49"/>
      <c r="F16" s="49"/>
      <c r="G16" s="49"/>
    </row>
    <row r="17" spans="1:7" ht="16.5" x14ac:dyDescent="0.3">
      <c r="A17" s="49"/>
      <c r="B17" s="49" t="s">
        <v>79</v>
      </c>
      <c r="C17" s="3">
        <v>200100</v>
      </c>
      <c r="D17" s="4">
        <f>'[4]Plan vs. Actual Variance Report'!S36</f>
        <v>212000</v>
      </c>
      <c r="E17" s="5">
        <f>'[4]Plan vs. Actual Variance Report'!S35</f>
        <v>177000</v>
      </c>
      <c r="F17" s="49" t="s">
        <v>89</v>
      </c>
      <c r="G17" s="49"/>
    </row>
    <row r="18" spans="1:7" ht="16.5" x14ac:dyDescent="0.3">
      <c r="A18" s="49"/>
      <c r="B18" s="49" t="s">
        <v>90</v>
      </c>
      <c r="C18" s="49"/>
      <c r="D18" s="49"/>
      <c r="E18" s="5">
        <f>'[4]Plan vs. Actual Variance Report'!S36</f>
        <v>212000</v>
      </c>
      <c r="F18" s="49" t="s">
        <v>91</v>
      </c>
      <c r="G18" s="49"/>
    </row>
    <row r="19" spans="1:7" ht="16.5" x14ac:dyDescent="0.3">
      <c r="A19" s="49"/>
      <c r="B19" s="49" t="s">
        <v>92</v>
      </c>
      <c r="C19" s="49"/>
      <c r="D19" s="49"/>
      <c r="E19" s="5">
        <f>'[4]Plan vs. Actual Variance Report'!S37</f>
        <v>35000</v>
      </c>
      <c r="F19" s="49" t="s">
        <v>93</v>
      </c>
      <c r="G19" s="6" t="e">
        <f>VLOOKUP(C20, D20, 1, D20)</f>
        <v>#N/A</v>
      </c>
    </row>
    <row r="20" spans="1:7" ht="16.5" x14ac:dyDescent="0.3">
      <c r="A20" s="49"/>
      <c r="B20" s="49" t="s">
        <v>94</v>
      </c>
      <c r="C20" s="7">
        <v>15604</v>
      </c>
      <c r="D20" s="7">
        <v>22024</v>
      </c>
      <c r="E20" s="5">
        <f>'[4]Plan vs. Actual Variance Report'!S38</f>
        <v>0.19774011299435029</v>
      </c>
      <c r="F20" s="49" t="s">
        <v>95</v>
      </c>
      <c r="G20" s="49"/>
    </row>
    <row r="21" spans="1:7" ht="16.5" x14ac:dyDescent="0.3">
      <c r="A21" s="49"/>
      <c r="B21" s="49" t="s">
        <v>96</v>
      </c>
      <c r="C21" s="8">
        <v>11644</v>
      </c>
      <c r="D21" s="8">
        <v>18579</v>
      </c>
      <c r="E21" s="49"/>
      <c r="F21" s="49"/>
      <c r="G21" s="49"/>
    </row>
    <row r="22" spans="1:7" ht="16.5" x14ac:dyDescent="0.3">
      <c r="A22" s="49"/>
      <c r="B22" s="49" t="s">
        <v>97</v>
      </c>
      <c r="C22" s="8">
        <v>55685</v>
      </c>
      <c r="D22" s="8">
        <v>79660</v>
      </c>
      <c r="E22" s="49"/>
      <c r="F22" s="49"/>
      <c r="G22" s="49"/>
    </row>
    <row r="23" spans="1:7" ht="16.5" x14ac:dyDescent="0.3">
      <c r="A23" s="49"/>
      <c r="B23" s="49" t="s">
        <v>98</v>
      </c>
      <c r="C23" s="8">
        <v>556</v>
      </c>
      <c r="D23" s="8">
        <v>3596</v>
      </c>
      <c r="E23" s="49"/>
      <c r="F23" s="49"/>
      <c r="G23" s="49"/>
    </row>
    <row r="24" spans="1:7" ht="16.5" x14ac:dyDescent="0.3">
      <c r="A24" s="49"/>
      <c r="B24" s="49" t="s">
        <v>99</v>
      </c>
      <c r="C24" s="7">
        <v>76640</v>
      </c>
      <c r="D24" s="7">
        <v>84992</v>
      </c>
      <c r="E24" s="49"/>
      <c r="F24" s="49"/>
      <c r="G24" s="49"/>
    </row>
    <row r="25" spans="1:7" ht="16.5" x14ac:dyDescent="0.3">
      <c r="A25" s="49"/>
      <c r="B25" s="49" t="s">
        <v>78</v>
      </c>
      <c r="C25" s="8">
        <v>2060</v>
      </c>
      <c r="D25" s="8">
        <v>18</v>
      </c>
      <c r="E25" s="49"/>
      <c r="F25" s="49"/>
      <c r="G25" s="49"/>
    </row>
    <row r="26" spans="1:7" ht="16.5" x14ac:dyDescent="0.3">
      <c r="A26" s="49"/>
      <c r="B26" s="49" t="s">
        <v>100</v>
      </c>
      <c r="C26" s="49"/>
      <c r="D26" s="49"/>
      <c r="E26" s="49"/>
      <c r="F26" s="49"/>
      <c r="G26" s="49"/>
    </row>
    <row r="27" spans="1:7" ht="16.5" x14ac:dyDescent="0.3">
      <c r="A27" s="49"/>
      <c r="B27" s="49" t="s">
        <v>101</v>
      </c>
      <c r="C27" s="49"/>
      <c r="D27" s="49"/>
      <c r="E27" s="49"/>
      <c r="F27" s="49"/>
      <c r="G27" s="49"/>
    </row>
    <row r="28" spans="1:7" ht="16.5" x14ac:dyDescent="0.3">
      <c r="A28" s="49"/>
      <c r="B28" s="49" t="s">
        <v>102</v>
      </c>
      <c r="C28" s="8">
        <v>-15054</v>
      </c>
      <c r="D28" s="8">
        <v>-54162</v>
      </c>
      <c r="E28" s="49"/>
      <c r="F28" s="49"/>
      <c r="G28" s="49"/>
    </row>
    <row r="29" spans="1:7" ht="16.5" x14ac:dyDescent="0.3">
      <c r="A29" s="49"/>
      <c r="B29" s="49" t="s">
        <v>103</v>
      </c>
      <c r="C29" s="8">
        <v>-61691</v>
      </c>
      <c r="D29" s="8">
        <v>-77333</v>
      </c>
      <c r="E29" s="49"/>
      <c r="F29" s="49"/>
      <c r="G29" s="49"/>
    </row>
    <row r="30" spans="1:7" ht="16.5" x14ac:dyDescent="0.3">
      <c r="A30" s="49"/>
      <c r="B30" s="49" t="s">
        <v>104</v>
      </c>
      <c r="C30" s="8">
        <v>-115745</v>
      </c>
      <c r="D30" s="8">
        <v>1203</v>
      </c>
      <c r="E30" s="49"/>
      <c r="F30" s="49"/>
      <c r="G30" s="49"/>
    </row>
    <row r="31" spans="1:7" ht="16.5" x14ac:dyDescent="0.3">
      <c r="A31" s="49"/>
      <c r="B31" s="49" t="s">
        <v>105</v>
      </c>
      <c r="C31" s="8">
        <v>-4667</v>
      </c>
      <c r="D31" s="8">
        <v>-8361</v>
      </c>
      <c r="E31" s="49"/>
      <c r="F31" s="49"/>
      <c r="G31" s="49"/>
    </row>
    <row r="32" spans="1:7" ht="16.5" x14ac:dyDescent="0.3">
      <c r="A32" s="49"/>
      <c r="B32" s="49" t="s">
        <v>106</v>
      </c>
      <c r="C32" s="8">
        <v>-2621</v>
      </c>
      <c r="D32" s="8">
        <v>2240</v>
      </c>
      <c r="E32" s="49"/>
      <c r="F32" s="49"/>
      <c r="G32" s="49"/>
    </row>
    <row r="33" spans="1:7" ht="16.5" x14ac:dyDescent="0.3">
      <c r="A33" s="49"/>
      <c r="B33" s="49" t="s">
        <v>107</v>
      </c>
      <c r="C33" s="8">
        <v>42341</v>
      </c>
      <c r="D33" s="8">
        <v>20909</v>
      </c>
      <c r="E33" s="49"/>
      <c r="F33" s="49"/>
      <c r="G33" s="49"/>
    </row>
    <row r="34" spans="1:7" ht="16.5" x14ac:dyDescent="0.3">
      <c r="A34" s="49"/>
      <c r="B34" s="49" t="s">
        <v>108</v>
      </c>
      <c r="C34" s="8">
        <v>143652</v>
      </c>
      <c r="D34" s="8">
        <v>168928</v>
      </c>
      <c r="E34" s="49"/>
      <c r="F34" s="49"/>
      <c r="G34" s="49"/>
    </row>
    <row r="35" spans="1:7" ht="16.5" x14ac:dyDescent="0.3">
      <c r="A35" s="49"/>
      <c r="B35" s="49" t="s">
        <v>109</v>
      </c>
      <c r="C35" s="8">
        <v>2024</v>
      </c>
      <c r="D35" s="8">
        <v>-21838</v>
      </c>
      <c r="E35" s="49"/>
      <c r="F35" s="49"/>
      <c r="G35" s="49"/>
    </row>
    <row r="36" spans="1:7" ht="16.5" x14ac:dyDescent="0.3">
      <c r="A36" s="49"/>
      <c r="B36" s="49" t="s">
        <v>110</v>
      </c>
      <c r="C36" s="8">
        <v>7850</v>
      </c>
      <c r="D36" s="8">
        <v>-6975</v>
      </c>
      <c r="E36" s="49"/>
      <c r="F36" s="49"/>
      <c r="G36" s="49"/>
    </row>
    <row r="37" spans="1:7" ht="16.5" x14ac:dyDescent="0.3">
      <c r="A37" s="49"/>
      <c r="B37" s="49" t="s">
        <v>111</v>
      </c>
      <c r="C37" s="8">
        <v>7867</v>
      </c>
      <c r="D37" s="8">
        <v>5648</v>
      </c>
      <c r="E37" s="49"/>
      <c r="F37" s="49"/>
      <c r="G37" s="49"/>
    </row>
    <row r="38" spans="1:7" ht="16.5" x14ac:dyDescent="0.3">
      <c r="A38" s="49"/>
      <c r="B38" s="49"/>
      <c r="C38" s="49"/>
      <c r="D38" s="49"/>
      <c r="E38" s="49"/>
      <c r="F38" s="49"/>
      <c r="G38" s="49"/>
    </row>
    <row r="39" spans="1:7" ht="16.5" x14ac:dyDescent="0.3">
      <c r="A39" s="49"/>
      <c r="B39" s="49" t="s">
        <v>112</v>
      </c>
      <c r="C39" s="8">
        <v>366245</v>
      </c>
      <c r="D39" s="8">
        <v>495419</v>
      </c>
      <c r="E39" s="49"/>
      <c r="F39" s="49"/>
      <c r="G39" s="49"/>
    </row>
    <row r="40" spans="1:7" ht="16.5" x14ac:dyDescent="0.3">
      <c r="A40" s="49"/>
      <c r="B40" s="49"/>
      <c r="C40" s="49"/>
      <c r="D40" s="49"/>
      <c r="E40" s="49"/>
      <c r="F40" s="49"/>
      <c r="G40" s="49"/>
    </row>
    <row r="41" spans="1:7" ht="16.5" x14ac:dyDescent="0.3">
      <c r="A41" s="49"/>
      <c r="B41" s="49" t="s">
        <v>113</v>
      </c>
      <c r="C41" s="49"/>
      <c r="D41" s="49"/>
      <c r="E41" s="49"/>
      <c r="F41" s="49"/>
      <c r="G41" s="49"/>
    </row>
    <row r="42" spans="1:7" ht="16.5" x14ac:dyDescent="0.3">
      <c r="A42" s="49"/>
      <c r="B42" s="49" t="s">
        <v>114</v>
      </c>
      <c r="C42" s="8">
        <v>-70912</v>
      </c>
      <c r="D42" s="8">
        <v>-79584</v>
      </c>
      <c r="E42" s="49"/>
      <c r="F42" s="49"/>
      <c r="G42" s="49"/>
    </row>
    <row r="43" spans="1:7" ht="16.5" x14ac:dyDescent="0.3">
      <c r="A43" s="49"/>
      <c r="B43" s="49" t="s">
        <v>115</v>
      </c>
      <c r="C43" s="8">
        <v>-823783</v>
      </c>
      <c r="D43" s="8">
        <v>-368094</v>
      </c>
      <c r="E43" s="49"/>
      <c r="F43" s="49"/>
      <c r="G43" s="49"/>
    </row>
    <row r="44" spans="1:7" ht="16.5" x14ac:dyDescent="0.3">
      <c r="A44" s="49"/>
      <c r="B44" s="49" t="s">
        <v>116</v>
      </c>
      <c r="C44" s="8">
        <v>517428</v>
      </c>
      <c r="D44" s="8">
        <v>245665</v>
      </c>
      <c r="E44" s="49"/>
      <c r="F44" s="49"/>
      <c r="G44" s="49"/>
    </row>
    <row r="45" spans="1:7" ht="16.5" x14ac:dyDescent="0.3">
      <c r="A45" s="49"/>
      <c r="B45" s="49" t="s">
        <v>117</v>
      </c>
      <c r="C45" s="8">
        <v>-945</v>
      </c>
      <c r="D45" s="9">
        <v>0</v>
      </c>
      <c r="E45" s="49"/>
      <c r="F45" s="49"/>
      <c r="G45" s="49"/>
    </row>
    <row r="46" spans="1:7" ht="16.5" x14ac:dyDescent="0.3">
      <c r="A46" s="49"/>
      <c r="B46" s="49" t="s">
        <v>118</v>
      </c>
      <c r="C46" s="8">
        <v>-34663</v>
      </c>
      <c r="D46" s="8">
        <v>-445008</v>
      </c>
      <c r="E46" s="49"/>
      <c r="F46" s="49"/>
      <c r="G46" s="49"/>
    </row>
    <row r="47" spans="1:7" ht="16.5" x14ac:dyDescent="0.3">
      <c r="A47" s="49"/>
      <c r="B47" s="49"/>
      <c r="C47" s="49"/>
      <c r="D47" s="49"/>
      <c r="E47" s="49"/>
      <c r="F47" s="49"/>
      <c r="G47" s="49"/>
    </row>
    <row r="48" spans="1:7" ht="16.5" x14ac:dyDescent="0.3">
      <c r="A48" s="49"/>
      <c r="B48" s="49" t="s">
        <v>119</v>
      </c>
      <c r="C48" s="8">
        <v>-412875</v>
      </c>
      <c r="D48" s="8">
        <v>-647021</v>
      </c>
      <c r="E48" s="49"/>
      <c r="F48" s="49"/>
      <c r="G48" s="49"/>
    </row>
    <row r="49" spans="1:7" ht="16.5" x14ac:dyDescent="0.3">
      <c r="A49" s="49"/>
      <c r="B49" s="49"/>
      <c r="C49" s="49"/>
      <c r="D49" s="49"/>
      <c r="E49" s="49"/>
      <c r="F49" s="49"/>
      <c r="G49" s="49"/>
    </row>
    <row r="50" spans="1:7" ht="16.5" x14ac:dyDescent="0.3">
      <c r="A50" s="49"/>
      <c r="B50" s="49" t="s">
        <v>120</v>
      </c>
      <c r="C50" s="49"/>
      <c r="D50" s="49"/>
      <c r="E50" s="49"/>
      <c r="F50" s="49"/>
      <c r="G50" s="49"/>
    </row>
    <row r="51" spans="1:7" ht="16.5" x14ac:dyDescent="0.3">
      <c r="A51" s="49"/>
      <c r="B51" s="49" t="s">
        <v>121</v>
      </c>
      <c r="C51" s="8">
        <v>173089</v>
      </c>
      <c r="D51" s="8">
        <v>179279</v>
      </c>
      <c r="E51" s="49"/>
      <c r="F51" s="49"/>
      <c r="G51" s="49"/>
    </row>
    <row r="52" spans="1:7" ht="16.5" x14ac:dyDescent="0.3">
      <c r="A52" s="49"/>
      <c r="B52" s="49" t="s">
        <v>122</v>
      </c>
      <c r="C52" s="9">
        <v>0</v>
      </c>
      <c r="D52" s="8">
        <v>-126390</v>
      </c>
      <c r="E52" s="49"/>
      <c r="F52" s="49"/>
      <c r="G52" s="49"/>
    </row>
    <row r="53" spans="1:7" ht="16.5" x14ac:dyDescent="0.3">
      <c r="A53" s="49"/>
      <c r="B53" s="49" t="s">
        <v>123</v>
      </c>
      <c r="C53" s="8">
        <v>-1147</v>
      </c>
      <c r="D53" s="8">
        <v>-1849</v>
      </c>
      <c r="E53" s="49"/>
      <c r="F53" s="49"/>
      <c r="G53" s="49"/>
    </row>
    <row r="54" spans="1:7" ht="16.5" x14ac:dyDescent="0.3">
      <c r="A54" s="49"/>
      <c r="B54" s="49"/>
      <c r="C54" s="49"/>
      <c r="D54" s="49"/>
      <c r="E54" s="49"/>
      <c r="F54" s="49"/>
      <c r="G54" s="49"/>
    </row>
    <row r="55" spans="1:7" ht="16.5" x14ac:dyDescent="0.3">
      <c r="A55" s="49"/>
      <c r="B55" s="49" t="s">
        <v>124</v>
      </c>
      <c r="C55" s="8">
        <v>171942</v>
      </c>
      <c r="D55" s="8">
        <v>51040</v>
      </c>
      <c r="E55" s="49"/>
      <c r="F55" s="49"/>
      <c r="G55" s="49"/>
    </row>
    <row r="56" spans="1:7" ht="16.5" x14ac:dyDescent="0.3">
      <c r="A56" s="49"/>
      <c r="B56" s="49"/>
      <c r="C56" s="49"/>
      <c r="D56" s="49"/>
      <c r="E56" s="49"/>
      <c r="F56" s="49"/>
      <c r="G56" s="49"/>
    </row>
    <row r="57" spans="1:7" ht="16.5" x14ac:dyDescent="0.3">
      <c r="A57" s="49"/>
      <c r="B57" s="49" t="s">
        <v>125</v>
      </c>
      <c r="C57" s="49"/>
      <c r="D57" s="49"/>
      <c r="E57" s="49"/>
      <c r="F57" s="49"/>
      <c r="G57" s="49"/>
    </row>
    <row r="58" spans="1:7" ht="16.5" x14ac:dyDescent="0.3">
      <c r="A58" s="49"/>
      <c r="B58" s="49" t="s">
        <v>126</v>
      </c>
      <c r="C58" s="8">
        <v>-5117</v>
      </c>
      <c r="D58" s="8">
        <v>-12711</v>
      </c>
      <c r="E58" s="49"/>
      <c r="F58" s="49"/>
      <c r="G58" s="49"/>
    </row>
    <row r="59" spans="1:7" ht="16.5" x14ac:dyDescent="0.3">
      <c r="A59" s="49"/>
      <c r="B59" s="49"/>
      <c r="C59" s="49"/>
      <c r="D59" s="49"/>
      <c r="E59" s="49"/>
      <c r="F59" s="49"/>
      <c r="G59" s="49"/>
    </row>
    <row r="60" spans="1:7" ht="16.5" x14ac:dyDescent="0.3">
      <c r="A60" s="49"/>
      <c r="B60" s="49" t="s">
        <v>127</v>
      </c>
      <c r="C60" s="8">
        <v>120195</v>
      </c>
      <c r="D60" s="8">
        <v>-113273</v>
      </c>
      <c r="E60" s="49"/>
      <c r="F60" s="49"/>
      <c r="G60" s="49"/>
    </row>
    <row r="61" spans="1:7" ht="16.5" x14ac:dyDescent="0.3">
      <c r="A61" s="49"/>
      <c r="B61" s="49" t="s">
        <v>128</v>
      </c>
      <c r="C61" s="8">
        <v>1381513</v>
      </c>
      <c r="D61" s="8">
        <v>1330045</v>
      </c>
      <c r="E61" s="49"/>
      <c r="F61" s="49"/>
      <c r="G61" s="49"/>
    </row>
    <row r="62" spans="1:7" ht="16.5" x14ac:dyDescent="0.3">
      <c r="A62" s="49"/>
      <c r="B62" s="49"/>
      <c r="C62" s="49"/>
      <c r="D62" s="49"/>
      <c r="E62" s="49"/>
      <c r="F62" s="49"/>
      <c r="G62" s="49"/>
    </row>
    <row r="63" spans="1:7" ht="16.5" x14ac:dyDescent="0.3">
      <c r="A63" s="49"/>
      <c r="B63" s="49" t="s">
        <v>129</v>
      </c>
      <c r="C63" s="3">
        <v>1501708</v>
      </c>
      <c r="D63" s="3">
        <v>1216772</v>
      </c>
      <c r="E63" s="49"/>
      <c r="F63" s="49"/>
      <c r="G63" s="49"/>
    </row>
  </sheetData>
  <customSheetViews>
    <customSheetView guid="{8A6DCCC5-D866-46E7-B008-2AB15BA7B0AA}" hiddenRows="1">
      <selection activeCell="G19" sqref="G19"/>
      <pageMargins left="0.75" right="0.75" top="1" bottom="1" header="0.5" footer="0.5"/>
      <pageSetup orientation="portrait" horizontalDpi="1200" verticalDpi="1200" r:id="rId1"/>
      <headerFooter alignWithMargins="0"/>
    </customSheetView>
    <customSheetView guid="{2BB9D149-3035-471F-8023-B102C129B036}" hiddenRows="1">
      <selection activeCell="G19" sqref="G19"/>
    </customSheetView>
  </customSheetViews>
  <mergeCells count="6">
    <mergeCell ref="A5:D5"/>
    <mergeCell ref="A6:D6"/>
    <mergeCell ref="A1:D1"/>
    <mergeCell ref="A2:D2"/>
    <mergeCell ref="A3:D3"/>
    <mergeCell ref="A4:D4"/>
  </mergeCells>
  <phoneticPr fontId="2" type="noConversion"/>
  <pageMargins left="0.75" right="0.75" top="1" bottom="1" header="0.5" footer="0.5"/>
  <pageSetup orientation="portrait" horizontalDpi="1200" verticalDpi="1200" r:id="rId2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50"/>
  <sheetViews>
    <sheetView topLeftCell="A26" workbookViewId="0">
      <selection activeCell="B49" sqref="B49"/>
    </sheetView>
  </sheetViews>
  <sheetFormatPr defaultColWidth="21.625" defaultRowHeight="15" customHeight="1" x14ac:dyDescent="0.3"/>
  <cols>
    <col min="1" max="1" width="2.875" customWidth="1"/>
    <col min="2" max="2" width="44.625" customWidth="1"/>
    <col min="3" max="3" width="22.875" customWidth="1"/>
    <col min="4" max="4" width="17.875" customWidth="1"/>
  </cols>
  <sheetData>
    <row r="1" spans="1:4" ht="16.5" x14ac:dyDescent="0.3">
      <c r="A1" s="70"/>
      <c r="B1" s="71"/>
      <c r="C1" s="71"/>
      <c r="D1" s="71"/>
    </row>
    <row r="2" spans="1:4" ht="16.5" x14ac:dyDescent="0.3">
      <c r="A2" s="70" t="s">
        <v>51</v>
      </c>
      <c r="B2" s="71"/>
      <c r="C2" s="71"/>
      <c r="D2" s="71"/>
    </row>
    <row r="3" spans="1:4" ht="16.5" x14ac:dyDescent="0.3">
      <c r="A3" s="70" t="s">
        <v>52</v>
      </c>
      <c r="B3" s="71"/>
      <c r="C3" s="71"/>
      <c r="D3" s="71"/>
    </row>
    <row r="4" spans="1:4" ht="16.5" x14ac:dyDescent="0.3">
      <c r="A4" s="70" t="s">
        <v>53</v>
      </c>
      <c r="B4" s="71"/>
      <c r="C4" s="71"/>
      <c r="D4" s="71"/>
    </row>
    <row r="5" spans="1:4" ht="16.5" x14ac:dyDescent="0.3">
      <c r="A5" s="70" t="s">
        <v>54</v>
      </c>
      <c r="B5" s="71"/>
      <c r="C5" s="71"/>
      <c r="D5" s="71"/>
    </row>
    <row r="6" spans="1:4" ht="16.5" x14ac:dyDescent="0.3">
      <c r="A6" s="70" t="s">
        <v>50</v>
      </c>
      <c r="B6" s="71"/>
      <c r="C6" s="71"/>
      <c r="D6" s="71"/>
    </row>
    <row r="7" spans="1:4" ht="16.5" x14ac:dyDescent="0.3">
      <c r="A7" s="49"/>
      <c r="B7" s="49" t="s">
        <v>55</v>
      </c>
      <c r="C7" s="49"/>
      <c r="D7" s="49"/>
    </row>
    <row r="8" spans="1:4" ht="16.5" x14ac:dyDescent="0.3">
      <c r="A8" s="49"/>
      <c r="B8" s="49"/>
      <c r="C8" s="49"/>
      <c r="D8" s="49"/>
    </row>
    <row r="9" spans="1:4" ht="16.5" x14ac:dyDescent="0.3">
      <c r="A9" s="49"/>
      <c r="B9" s="49" t="s">
        <v>50</v>
      </c>
      <c r="C9" s="49" t="s">
        <v>56</v>
      </c>
      <c r="D9" s="49"/>
    </row>
    <row r="10" spans="1:4" ht="16.5" x14ac:dyDescent="0.3">
      <c r="A10" s="49"/>
      <c r="B10" s="49" t="s">
        <v>50</v>
      </c>
      <c r="C10" s="49" t="s">
        <v>57</v>
      </c>
      <c r="D10" s="49"/>
    </row>
    <row r="11" spans="1:4" ht="16.5" x14ac:dyDescent="0.3">
      <c r="A11" s="49"/>
      <c r="B11" s="49"/>
      <c r="C11" s="10">
        <v>2005</v>
      </c>
      <c r="D11" s="10">
        <v>2006</v>
      </c>
    </row>
    <row r="12" spans="1:4" ht="16.5" x14ac:dyDescent="0.3">
      <c r="A12" s="49"/>
      <c r="B12" s="11" t="s">
        <v>58</v>
      </c>
      <c r="C12" s="12">
        <f>'[1]IM Data'!D32</f>
        <v>2324300</v>
      </c>
      <c r="D12" s="12">
        <f>'[1]IM Data'!D33</f>
        <v>3724300</v>
      </c>
    </row>
    <row r="13" spans="1:4" ht="16.5" x14ac:dyDescent="0.3">
      <c r="A13" s="49"/>
      <c r="B13" s="11" t="s">
        <v>59</v>
      </c>
      <c r="C13" s="13">
        <f>'[2]GL Data'!D32</f>
        <v>215000</v>
      </c>
      <c r="D13" s="12">
        <f>'[1]GL Data'!D33</f>
        <v>182000</v>
      </c>
    </row>
    <row r="14" spans="1:4" ht="16.5" x14ac:dyDescent="0.3">
      <c r="A14" s="49"/>
      <c r="B14" s="49" t="s">
        <v>50</v>
      </c>
      <c r="C14" s="72" t="s">
        <v>60</v>
      </c>
      <c r="D14" s="71" t="s">
        <v>50</v>
      </c>
    </row>
    <row r="15" spans="1:4" ht="16.5" x14ac:dyDescent="0.3">
      <c r="A15" s="49"/>
      <c r="B15" s="49" t="s">
        <v>50</v>
      </c>
      <c r="C15" s="72" t="s">
        <v>61</v>
      </c>
      <c r="D15" s="71" t="s">
        <v>50</v>
      </c>
    </row>
    <row r="16" spans="1:4" ht="16.5" x14ac:dyDescent="0.3">
      <c r="A16" s="49"/>
      <c r="B16" s="49" t="s">
        <v>50</v>
      </c>
      <c r="C16" s="72" t="s">
        <v>62</v>
      </c>
      <c r="D16" s="71" t="s">
        <v>50</v>
      </c>
    </row>
    <row r="17" spans="1:4" ht="16.5" x14ac:dyDescent="0.3">
      <c r="A17" s="49"/>
      <c r="B17" s="49" t="s">
        <v>63</v>
      </c>
      <c r="C17" s="14">
        <v>543123</v>
      </c>
      <c r="D17" s="14">
        <v>986435</v>
      </c>
    </row>
    <row r="18" spans="1:4" ht="16.5" x14ac:dyDescent="0.3">
      <c r="A18" s="49"/>
      <c r="B18" s="49" t="s">
        <v>64</v>
      </c>
      <c r="C18" s="7">
        <v>234123</v>
      </c>
      <c r="D18" s="7">
        <v>123765</v>
      </c>
    </row>
    <row r="19" spans="1:4" ht="16.5" x14ac:dyDescent="0.3">
      <c r="A19" s="49"/>
      <c r="B19" s="49"/>
      <c r="C19" s="49">
        <v>4000</v>
      </c>
      <c r="D19" s="49"/>
    </row>
    <row r="20" spans="1:4" ht="16.5" x14ac:dyDescent="0.3">
      <c r="A20" s="49"/>
      <c r="B20" s="49" t="s">
        <v>65</v>
      </c>
      <c r="C20" s="15">
        <f>-C17-C18</f>
        <v>-777246</v>
      </c>
      <c r="D20" s="15">
        <f>-D17-D18</f>
        <v>-1110200</v>
      </c>
    </row>
    <row r="21" spans="1:4" ht="16.5" x14ac:dyDescent="0.3">
      <c r="A21" s="49"/>
      <c r="B21" s="49"/>
      <c r="C21" s="49"/>
      <c r="D21" s="49"/>
    </row>
    <row r="22" spans="1:4" ht="16.5" x14ac:dyDescent="0.3">
      <c r="A22" s="49"/>
      <c r="B22" s="49" t="s">
        <v>66</v>
      </c>
      <c r="C22" s="49"/>
      <c r="D22" s="49"/>
    </row>
    <row r="23" spans="1:4" ht="16.5" x14ac:dyDescent="0.3">
      <c r="A23" s="49"/>
      <c r="B23" s="49" t="s">
        <v>67</v>
      </c>
      <c r="C23" s="7">
        <v>192690</v>
      </c>
      <c r="D23" s="7">
        <v>271349</v>
      </c>
    </row>
    <row r="24" spans="1:4" ht="16.5" x14ac:dyDescent="0.3">
      <c r="A24" s="49"/>
      <c r="B24" s="49" t="s">
        <v>68</v>
      </c>
      <c r="C24" s="7">
        <v>52698</v>
      </c>
      <c r="D24" s="7">
        <v>73789</v>
      </c>
    </row>
    <row r="25" spans="1:4" ht="16.5" x14ac:dyDescent="0.3">
      <c r="A25" s="49"/>
      <c r="B25" s="49" t="s">
        <v>69</v>
      </c>
      <c r="C25" s="7">
        <v>90636</v>
      </c>
      <c r="D25" s="7">
        <v>136389</v>
      </c>
    </row>
    <row r="26" spans="1:4" ht="16.5" x14ac:dyDescent="0.3">
      <c r="A26" s="49"/>
      <c r="B26" s="49" t="s">
        <v>70</v>
      </c>
      <c r="C26" s="7">
        <v>5146</v>
      </c>
      <c r="D26" s="7">
        <v>5731</v>
      </c>
    </row>
    <row r="27" spans="1:4" ht="16.5" x14ac:dyDescent="0.3">
      <c r="A27" s="49"/>
      <c r="B27" s="49" t="s">
        <v>71</v>
      </c>
      <c r="C27" s="7">
        <v>13963</v>
      </c>
      <c r="D27" s="7">
        <v>22523</v>
      </c>
    </row>
    <row r="28" spans="1:4" ht="16.5" x14ac:dyDescent="0.3">
      <c r="A28" s="49"/>
      <c r="B28" s="49"/>
      <c r="C28" s="16"/>
      <c r="D28" s="16"/>
    </row>
    <row r="29" spans="1:4" ht="16.5" x14ac:dyDescent="0.3">
      <c r="A29" s="49"/>
      <c r="B29" s="49" t="s">
        <v>72</v>
      </c>
      <c r="C29" s="15">
        <f>-SUM(C23:C28)</f>
        <v>-355133</v>
      </c>
      <c r="D29" s="15">
        <f>SUM(D23:D28)</f>
        <v>509781</v>
      </c>
    </row>
    <row r="30" spans="1:4" ht="16.5" x14ac:dyDescent="0.3">
      <c r="A30" s="49"/>
      <c r="B30" s="49"/>
      <c r="C30" s="49"/>
      <c r="D30" s="49"/>
    </row>
    <row r="31" spans="1:4" ht="16.5" x14ac:dyDescent="0.3">
      <c r="A31" s="49"/>
      <c r="B31" s="49" t="s">
        <v>73</v>
      </c>
      <c r="C31" s="7">
        <v>266748</v>
      </c>
      <c r="D31" s="7">
        <v>335574</v>
      </c>
    </row>
    <row r="32" spans="1:4" ht="16.5" x14ac:dyDescent="0.3">
      <c r="A32" s="49"/>
      <c r="B32" s="49" t="s">
        <v>74</v>
      </c>
      <c r="C32" s="7">
        <v>23499</v>
      </c>
      <c r="D32" s="7">
        <v>22403</v>
      </c>
    </row>
    <row r="33" spans="1:4" ht="16.5" x14ac:dyDescent="0.3">
      <c r="A33" s="49"/>
      <c r="B33" s="49" t="s">
        <v>75</v>
      </c>
      <c r="C33" s="7">
        <v>-2331</v>
      </c>
      <c r="D33" s="7">
        <v>-1720</v>
      </c>
    </row>
    <row r="34" spans="1:4" ht="16.5" x14ac:dyDescent="0.3">
      <c r="A34" s="49"/>
      <c r="B34" s="49"/>
      <c r="C34" s="16"/>
      <c r="D34" s="16"/>
    </row>
    <row r="35" spans="1:4" ht="16.5" x14ac:dyDescent="0.3">
      <c r="A35" s="49"/>
      <c r="B35" s="49" t="s">
        <v>76</v>
      </c>
      <c r="C35" s="7">
        <v>287916</v>
      </c>
      <c r="D35" s="7">
        <v>356257</v>
      </c>
    </row>
    <row r="36" spans="1:4" ht="16.5" x14ac:dyDescent="0.3">
      <c r="A36" s="49"/>
      <c r="B36" s="49" t="s">
        <v>77</v>
      </c>
      <c r="C36" s="7">
        <v>-85756</v>
      </c>
      <c r="D36" s="7">
        <v>-99948</v>
      </c>
    </row>
    <row r="37" spans="1:4" ht="16.5" x14ac:dyDescent="0.3">
      <c r="A37" s="49"/>
      <c r="B37" s="49" t="s">
        <v>78</v>
      </c>
      <c r="C37" s="7">
        <v>-2060</v>
      </c>
      <c r="D37" s="7">
        <v>-18</v>
      </c>
    </row>
    <row r="38" spans="1:4" ht="16.5" x14ac:dyDescent="0.3">
      <c r="A38" s="49"/>
      <c r="B38" s="49"/>
      <c r="C38" s="16"/>
      <c r="D38" s="16"/>
    </row>
    <row r="39" spans="1:4" ht="16.5" x14ac:dyDescent="0.3">
      <c r="A39" s="49"/>
      <c r="B39" s="49" t="s">
        <v>79</v>
      </c>
      <c r="C39" s="14">
        <v>200100</v>
      </c>
      <c r="D39" s="14">
        <v>256291</v>
      </c>
    </row>
    <row r="40" spans="1:4" ht="16.5" x14ac:dyDescent="0.3">
      <c r="A40" s="49"/>
      <c r="B40" s="49"/>
      <c r="C40" s="16"/>
      <c r="D40" s="16"/>
    </row>
    <row r="41" spans="1:4" ht="16.5" x14ac:dyDescent="0.3">
      <c r="A41" s="49"/>
      <c r="B41" s="49" t="s">
        <v>80</v>
      </c>
      <c r="C41" s="16"/>
      <c r="D41" s="16"/>
    </row>
    <row r="42" spans="1:4" ht="16.5" x14ac:dyDescent="0.3">
      <c r="A42" s="49"/>
      <c r="B42" s="49" t="s">
        <v>81</v>
      </c>
      <c r="C42" s="17">
        <v>0.15</v>
      </c>
      <c r="D42" s="17">
        <v>0.19</v>
      </c>
    </row>
    <row r="43" spans="1:4" ht="16.5" x14ac:dyDescent="0.3">
      <c r="A43" s="49"/>
      <c r="B43" s="49"/>
      <c r="C43" s="16"/>
      <c r="D43" s="16"/>
    </row>
    <row r="44" spans="1:4" ht="16.5" x14ac:dyDescent="0.3">
      <c r="A44" s="49"/>
      <c r="B44" s="49" t="s">
        <v>82</v>
      </c>
      <c r="C44" s="17">
        <v>0.15</v>
      </c>
      <c r="D44" s="17">
        <v>0.19</v>
      </c>
    </row>
    <row r="45" spans="1:4" ht="16.5" x14ac:dyDescent="0.3">
      <c r="A45" s="49"/>
      <c r="B45" s="49"/>
      <c r="C45" s="16"/>
      <c r="D45" s="16"/>
    </row>
    <row r="46" spans="1:4" ht="16.5" x14ac:dyDescent="0.3">
      <c r="A46" s="49"/>
      <c r="B46" s="49" t="s">
        <v>83</v>
      </c>
      <c r="C46" s="16"/>
      <c r="D46" s="16"/>
    </row>
    <row r="47" spans="1:4" ht="16.5" x14ac:dyDescent="0.3">
      <c r="A47" s="49"/>
      <c r="B47" s="49" t="s">
        <v>81</v>
      </c>
      <c r="C47" s="7">
        <v>1305002</v>
      </c>
      <c r="D47" s="7">
        <v>1343442</v>
      </c>
    </row>
    <row r="48" spans="1:4" ht="16.5" x14ac:dyDescent="0.3">
      <c r="A48" s="49"/>
      <c r="B48" s="49"/>
      <c r="C48" s="16"/>
      <c r="D48" s="16"/>
    </row>
    <row r="49" spans="1:4" ht="16.5" x14ac:dyDescent="0.3">
      <c r="A49" s="49"/>
      <c r="B49" s="49" t="s">
        <v>82</v>
      </c>
      <c r="C49" s="7">
        <v>1347596</v>
      </c>
      <c r="D49" s="7">
        <v>1382150</v>
      </c>
    </row>
    <row r="50" spans="1:4" ht="15" customHeight="1" x14ac:dyDescent="0.3">
      <c r="A50" s="18"/>
      <c r="B50" s="18"/>
      <c r="C50" s="19">
        <f>SUM(C31:C49)</f>
        <v>3340714.3</v>
      </c>
      <c r="D50" s="19">
        <f>SUM(D31:D49)</f>
        <v>3594431.38</v>
      </c>
    </row>
  </sheetData>
  <customSheetViews>
    <customSheetView guid="{8A6DCCC5-D866-46E7-B008-2AB15BA7B0AA}" topLeftCell="A26">
      <selection activeCell="B49" sqref="B49"/>
      <pageMargins left="0.75" right="0.75" top="1" bottom="1" header="0.5" footer="0.5"/>
      <pageSetup orientation="portrait" horizontalDpi="1200" verticalDpi="1200" r:id="rId1"/>
      <headerFooter alignWithMargins="0"/>
    </customSheetView>
    <customSheetView guid="{2BB9D149-3035-471F-8023-B102C129B036}" topLeftCell="A26">
      <selection activeCell="B49" sqref="B49"/>
    </customSheetView>
  </customSheetViews>
  <mergeCells count="9">
    <mergeCell ref="C14:D14"/>
    <mergeCell ref="C15:D15"/>
    <mergeCell ref="C16:D16"/>
    <mergeCell ref="A1:D1"/>
    <mergeCell ref="A2:D2"/>
    <mergeCell ref="A3:D3"/>
    <mergeCell ref="A4:D4"/>
    <mergeCell ref="A5:D5"/>
    <mergeCell ref="A6:D6"/>
  </mergeCells>
  <phoneticPr fontId="2" type="noConversion"/>
  <pageMargins left="0.75" right="0.75" top="1" bottom="1" header="0.5" footer="0.5"/>
  <pageSetup orientation="portrait" horizontalDpi="1200" verticalDpi="1200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9"/>
  <sheetViews>
    <sheetView workbookViewId="0">
      <selection activeCell="B9" sqref="B9"/>
    </sheetView>
  </sheetViews>
  <sheetFormatPr defaultRowHeight="15" customHeight="1" x14ac:dyDescent="0.3"/>
  <cols>
    <col min="2" max="2" width="61.5" customWidth="1"/>
    <col min="3" max="3" width="9" customWidth="1"/>
  </cols>
  <sheetData>
    <row r="1" spans="1:2" ht="23.25" x14ac:dyDescent="0.3">
      <c r="A1" s="20" t="s">
        <v>130</v>
      </c>
      <c r="B1" s="20" t="s">
        <v>131</v>
      </c>
    </row>
    <row r="2" spans="1:2" ht="16.5" x14ac:dyDescent="0.3">
      <c r="A2" s="21">
        <v>100000</v>
      </c>
      <c r="B2" s="21">
        <v>7000</v>
      </c>
    </row>
    <row r="3" spans="1:2" ht="16.5" x14ac:dyDescent="0.3">
      <c r="A3" s="21">
        <v>200000</v>
      </c>
      <c r="B3" s="21">
        <v>14000</v>
      </c>
    </row>
    <row r="4" spans="1:2" ht="18" customHeight="1" x14ac:dyDescent="0.3">
      <c r="A4" s="21">
        <v>300000</v>
      </c>
      <c r="B4" s="21">
        <v>21000</v>
      </c>
    </row>
    <row r="5" spans="1:2" ht="18" customHeight="1" x14ac:dyDescent="0.3">
      <c r="A5" s="21">
        <v>400000</v>
      </c>
      <c r="B5" s="21">
        <v>28000</v>
      </c>
    </row>
    <row r="6" spans="1:2" ht="18" customHeight="1" x14ac:dyDescent="0.3">
      <c r="A6" s="20" t="s">
        <v>132</v>
      </c>
      <c r="B6" s="20" t="s">
        <v>133</v>
      </c>
    </row>
    <row r="7" spans="1:2" ht="18" customHeight="1" x14ac:dyDescent="0.3">
      <c r="A7" s="22">
        <f>SUMIF(A2:A5,"&gt;160000",B2:B5)</f>
        <v>63000</v>
      </c>
      <c r="B7" s="23" t="s">
        <v>134</v>
      </c>
    </row>
    <row r="8" spans="1:2" ht="18" customHeight="1" x14ac:dyDescent="0.3">
      <c r="A8" s="22">
        <f>SUMIF(A2:A5,"&gt;160000")</f>
        <v>900000</v>
      </c>
      <c r="B8" s="23" t="s">
        <v>135</v>
      </c>
    </row>
    <row r="9" spans="1:2" ht="18" customHeight="1" x14ac:dyDescent="0.3">
      <c r="A9" s="22">
        <f>SUMIF(A2:A5,"=300000",B2:B5)</f>
        <v>21000</v>
      </c>
      <c r="B9" s="23" t="s">
        <v>136</v>
      </c>
    </row>
  </sheetData>
  <customSheetViews>
    <customSheetView guid="{8A6DCCC5-D866-46E7-B008-2AB15BA7B0AA}" state="hidden">
      <selection activeCell="B9" sqref="B9"/>
      <pageMargins left="0.7" right="0.7" top="0.75" bottom="0.75" header="0.3" footer="0.3"/>
      <pageSetup orientation="portrait" horizontalDpi="1200" verticalDpi="1200" r:id="rId1"/>
    </customSheetView>
    <customSheetView guid="{2BB9D149-3035-471F-8023-B102C129B036}" state="hidden">
      <selection activeCell="B9" sqref="B9"/>
    </customSheetView>
  </customSheetViews>
  <pageMargins left="0.7" right="0.7" top="0.75" bottom="0.75" header="0.3" footer="0.3"/>
  <pageSetup orientation="portrait" horizontalDpi="1200" verticalDpi="1200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59"/>
  <sheetViews>
    <sheetView workbookViewId="0">
      <selection activeCell="B12" sqref="B12"/>
    </sheetView>
  </sheetViews>
  <sheetFormatPr defaultRowHeight="15" customHeight="1" x14ac:dyDescent="0.3"/>
  <cols>
    <col min="1" max="1" width="30.625" customWidth="1"/>
    <col min="2" max="2" width="6.5" customWidth="1"/>
    <col min="3" max="3" width="10.375" customWidth="1"/>
    <col min="4" max="4" width="9" customWidth="1"/>
    <col min="5" max="9" width="8" customWidth="1"/>
  </cols>
  <sheetData>
    <row r="1" spans="1:3" ht="16.5" x14ac:dyDescent="0.3">
      <c r="A1" s="1">
        <f ca="1">TODAY()-1</f>
        <v>41304</v>
      </c>
      <c r="B1" s="24"/>
      <c r="C1" s="24"/>
    </row>
    <row r="2" spans="1:3" ht="16.5" x14ac:dyDescent="0.3">
      <c r="A2" s="24" t="s">
        <v>297</v>
      </c>
      <c r="B2" s="24"/>
      <c r="C2" s="24"/>
    </row>
    <row r="3" spans="1:3" ht="16.5" x14ac:dyDescent="0.3">
      <c r="A3" s="24" t="s">
        <v>298</v>
      </c>
      <c r="B3" s="25" t="s">
        <v>299</v>
      </c>
      <c r="C3" s="24" t="s">
        <v>300</v>
      </c>
    </row>
    <row r="4" spans="1:3" ht="16.5" x14ac:dyDescent="0.3">
      <c r="A4" s="24" t="s">
        <v>301</v>
      </c>
      <c r="B4" s="25">
        <v>3.8779499999999998</v>
      </c>
      <c r="C4" s="24">
        <v>0.25786799999999999</v>
      </c>
    </row>
    <row r="5" spans="1:3" ht="16.5" x14ac:dyDescent="0.3">
      <c r="A5" s="24" t="s">
        <v>302</v>
      </c>
      <c r="B5" s="25">
        <v>1.2145900000000001</v>
      </c>
      <c r="C5" s="24">
        <v>0.82332300000000003</v>
      </c>
    </row>
    <row r="6" spans="1:3" ht="16.5" x14ac:dyDescent="0.3">
      <c r="A6" s="24" t="s">
        <v>303</v>
      </c>
      <c r="B6" s="25">
        <v>6.7888700000000002</v>
      </c>
      <c r="C6" s="24">
        <v>0.14729999999999999</v>
      </c>
    </row>
    <row r="7" spans="1:3" ht="16.5" x14ac:dyDescent="0.3">
      <c r="A7" s="24" t="s">
        <v>304</v>
      </c>
      <c r="B7" s="25">
        <v>1.8887100000000001</v>
      </c>
      <c r="C7" s="24">
        <v>0.52946199999999999</v>
      </c>
    </row>
    <row r="8" spans="1:3" ht="16.5" x14ac:dyDescent="0.3">
      <c r="A8" s="24" t="s">
        <v>305</v>
      </c>
      <c r="B8" s="25">
        <v>0.60641999999999996</v>
      </c>
      <c r="C8" s="24">
        <v>1.6490199999999999</v>
      </c>
    </row>
    <row r="9" spans="1:3" ht="16.5" x14ac:dyDescent="0.3">
      <c r="A9" s="24" t="s">
        <v>306</v>
      </c>
      <c r="B9" s="25">
        <v>1.4409000000000001</v>
      </c>
      <c r="C9" s="24">
        <v>0.69401100000000004</v>
      </c>
    </row>
    <row r="10" spans="1:3" ht="16.5" x14ac:dyDescent="0.3">
      <c r="A10" s="24" t="s">
        <v>307</v>
      </c>
      <c r="B10" s="25">
        <v>1.37066</v>
      </c>
      <c r="C10" s="24">
        <v>0.729576</v>
      </c>
    </row>
    <row r="11" spans="1:3" ht="15" customHeight="1" x14ac:dyDescent="0.3">
      <c r="A11" s="24" t="s">
        <v>308</v>
      </c>
      <c r="B11" s="25">
        <v>1.08158</v>
      </c>
      <c r="C11" s="24">
        <v>0.92457299999999998</v>
      </c>
    </row>
    <row r="12" spans="1:3" ht="15" customHeight="1" x14ac:dyDescent="0.3">
      <c r="A12" s="24" t="s">
        <v>309</v>
      </c>
      <c r="B12" s="25">
        <v>541.47900000000004</v>
      </c>
      <c r="C12" s="24">
        <v>1.8467900000000001E-3</v>
      </c>
    </row>
    <row r="13" spans="1:3" ht="15" customHeight="1" x14ac:dyDescent="0.3">
      <c r="A13" s="24" t="s">
        <v>310</v>
      </c>
      <c r="B13" s="25">
        <v>6.8310300000000002</v>
      </c>
      <c r="C13" s="24">
        <v>0.14639099999999999</v>
      </c>
    </row>
    <row r="14" spans="1:3" ht="15" customHeight="1" x14ac:dyDescent="0.3">
      <c r="A14" s="24" t="s">
        <v>311</v>
      </c>
      <c r="B14" s="25">
        <v>1980.8</v>
      </c>
      <c r="C14" s="24">
        <v>5.04847E-4</v>
      </c>
    </row>
    <row r="15" spans="1:3" ht="15" customHeight="1" x14ac:dyDescent="0.3">
      <c r="A15" s="24" t="s">
        <v>312</v>
      </c>
      <c r="B15" s="25">
        <v>5.1349099999999996</v>
      </c>
      <c r="C15" s="24">
        <v>0.194745</v>
      </c>
    </row>
    <row r="16" spans="1:3" ht="15" customHeight="1" x14ac:dyDescent="0.3">
      <c r="A16" s="24" t="s">
        <v>313</v>
      </c>
      <c r="B16" s="25">
        <v>5.21753</v>
      </c>
      <c r="C16" s="24">
        <v>0.191662</v>
      </c>
    </row>
    <row r="17" spans="1:3" ht="15" customHeight="1" x14ac:dyDescent="0.3">
      <c r="A17" s="24" t="s">
        <v>314</v>
      </c>
      <c r="B17" s="25">
        <v>10.965400000000001</v>
      </c>
      <c r="C17" s="24">
        <v>9.1195899999999996E-2</v>
      </c>
    </row>
    <row r="18" spans="1:3" ht="15" customHeight="1" x14ac:dyDescent="0.3">
      <c r="A18" s="24" t="s">
        <v>315</v>
      </c>
      <c r="B18" s="25">
        <v>0.70082</v>
      </c>
      <c r="C18" s="24">
        <v>1.4269000000000001</v>
      </c>
    </row>
    <row r="19" spans="1:3" ht="15" customHeight="1" x14ac:dyDescent="0.3">
      <c r="A19" s="24" t="s">
        <v>316</v>
      </c>
      <c r="B19" s="25">
        <v>7.7500900000000001</v>
      </c>
      <c r="C19" s="24">
        <v>0.12903100000000001</v>
      </c>
    </row>
    <row r="20" spans="1:3" ht="15" customHeight="1" x14ac:dyDescent="0.3">
      <c r="A20" s="24" t="s">
        <v>317</v>
      </c>
      <c r="B20" s="25">
        <v>187.82</v>
      </c>
      <c r="C20" s="24">
        <v>5.32425E-3</v>
      </c>
    </row>
    <row r="21" spans="1:3" ht="15" customHeight="1" x14ac:dyDescent="0.3">
      <c r="A21" s="24" t="s">
        <v>318</v>
      </c>
      <c r="B21" s="25">
        <v>126.31100000000001</v>
      </c>
      <c r="C21" s="24">
        <v>7.9169700000000006E-3</v>
      </c>
    </row>
    <row r="22" spans="1:3" ht="15" customHeight="1" x14ac:dyDescent="0.3">
      <c r="A22" s="24" t="s">
        <v>319</v>
      </c>
      <c r="B22" s="25">
        <v>48.165300000000002</v>
      </c>
      <c r="C22" s="24">
        <v>2.07618E-2</v>
      </c>
    </row>
    <row r="23" spans="1:3" ht="15" customHeight="1" x14ac:dyDescent="0.3">
      <c r="A23" s="24" t="s">
        <v>354</v>
      </c>
      <c r="B23" s="25">
        <v>9922</v>
      </c>
      <c r="C23" s="24">
        <v>1.0078599999999999E-4</v>
      </c>
    </row>
    <row r="24" spans="1:3" ht="15" customHeight="1" x14ac:dyDescent="0.3">
      <c r="A24" s="24" t="s">
        <v>320</v>
      </c>
      <c r="B24" s="25">
        <v>3.8191799999999998</v>
      </c>
      <c r="C24" s="24">
        <v>0.26183600000000001</v>
      </c>
    </row>
    <row r="25" spans="1:3" ht="15" customHeight="1" x14ac:dyDescent="0.3">
      <c r="A25" s="24" t="s">
        <v>321</v>
      </c>
      <c r="B25" s="25">
        <v>95.038200000000003</v>
      </c>
      <c r="C25" s="24">
        <v>1.05221E-2</v>
      </c>
    </row>
    <row r="26" spans="1:3" ht="15" customHeight="1" x14ac:dyDescent="0.3">
      <c r="A26" s="24" t="s">
        <v>322</v>
      </c>
      <c r="B26" s="25">
        <v>150.72</v>
      </c>
      <c r="C26" s="24">
        <v>6.6348199999999996E-3</v>
      </c>
    </row>
    <row r="27" spans="1:3" ht="15" customHeight="1" x14ac:dyDescent="0.3">
      <c r="A27" s="24" t="s">
        <v>323</v>
      </c>
      <c r="B27" s="25">
        <v>0.28689999999999999</v>
      </c>
      <c r="C27" s="24">
        <v>3.4855399999999999</v>
      </c>
    </row>
    <row r="28" spans="1:3" ht="15" customHeight="1" x14ac:dyDescent="0.3">
      <c r="A28" s="24" t="s">
        <v>324</v>
      </c>
      <c r="B28" s="25">
        <v>0.49225600000000003</v>
      </c>
      <c r="C28" s="24">
        <v>2.03146</v>
      </c>
    </row>
    <row r="29" spans="1:3" ht="15" customHeight="1" x14ac:dyDescent="0.3">
      <c r="A29" s="24" t="s">
        <v>325</v>
      </c>
      <c r="B29" s="25">
        <v>1.9323699999999999</v>
      </c>
      <c r="C29" s="24">
        <v>0.51749900000000004</v>
      </c>
    </row>
    <row r="30" spans="1:3" ht="15" customHeight="1" x14ac:dyDescent="0.3">
      <c r="A30" s="24" t="s">
        <v>326</v>
      </c>
      <c r="B30" s="25">
        <v>2.4197899999999999</v>
      </c>
      <c r="C30" s="24">
        <v>0.41325899999999999</v>
      </c>
    </row>
    <row r="31" spans="1:3" ht="15" customHeight="1" x14ac:dyDescent="0.3">
      <c r="A31" s="24" t="s">
        <v>327</v>
      </c>
      <c r="B31" s="25">
        <v>3.5184700000000002</v>
      </c>
      <c r="C31" s="24">
        <v>0.28421400000000002</v>
      </c>
    </row>
    <row r="32" spans="1:3" ht="15" customHeight="1" x14ac:dyDescent="0.3">
      <c r="A32" s="24" t="s">
        <v>328</v>
      </c>
      <c r="B32" s="25">
        <v>3.3237800000000002</v>
      </c>
      <c r="C32" s="24">
        <v>0.30086200000000002</v>
      </c>
    </row>
    <row r="33" spans="1:3" ht="15" customHeight="1" x14ac:dyDescent="0.3">
      <c r="A33" s="24" t="s">
        <v>329</v>
      </c>
      <c r="B33" s="25">
        <v>31.721699999999998</v>
      </c>
      <c r="C33" s="24">
        <v>3.1524200000000002E-2</v>
      </c>
    </row>
    <row r="34" spans="1:3" ht="15" customHeight="1" x14ac:dyDescent="0.3">
      <c r="A34" s="24" t="s">
        <v>330</v>
      </c>
      <c r="B34" s="25">
        <v>13.154999999999999</v>
      </c>
      <c r="C34" s="24">
        <v>7.6016700000000006E-2</v>
      </c>
    </row>
    <row r="35" spans="1:3" ht="15" customHeight="1" x14ac:dyDescent="0.3">
      <c r="A35" s="24" t="s">
        <v>331</v>
      </c>
      <c r="B35" s="25">
        <v>77.150000000000006</v>
      </c>
      <c r="C35" s="24">
        <v>1.2961800000000001E-2</v>
      </c>
    </row>
    <row r="36" spans="1:3" ht="15" customHeight="1" x14ac:dyDescent="0.3">
      <c r="A36" s="24" t="s">
        <v>332</v>
      </c>
      <c r="B36" s="25">
        <v>1.52057</v>
      </c>
      <c r="C36" s="24">
        <v>0.65764800000000001</v>
      </c>
    </row>
    <row r="37" spans="1:3" ht="15" customHeight="1" x14ac:dyDescent="0.3">
      <c r="A37" s="24" t="s">
        <v>333</v>
      </c>
      <c r="B37" s="25">
        <v>6.1679199999999996</v>
      </c>
      <c r="C37" s="24">
        <v>0.162129</v>
      </c>
    </row>
    <row r="38" spans="1:3" ht="15" customHeight="1" x14ac:dyDescent="0.3">
      <c r="A38" s="24" t="s">
        <v>334</v>
      </c>
      <c r="B38" s="25">
        <v>0.38450000000000001</v>
      </c>
      <c r="C38" s="24">
        <v>2.6007799999999999</v>
      </c>
    </row>
    <row r="39" spans="1:3" ht="15" customHeight="1" x14ac:dyDescent="0.3">
      <c r="A39" s="24" t="s">
        <v>335</v>
      </c>
      <c r="B39" s="25">
        <v>82.899799999999999</v>
      </c>
      <c r="C39" s="24">
        <v>1.20628E-2</v>
      </c>
    </row>
    <row r="40" spans="1:3" ht="15" customHeight="1" x14ac:dyDescent="0.3">
      <c r="A40" s="24" t="s">
        <v>336</v>
      </c>
      <c r="B40" s="25">
        <v>3.64</v>
      </c>
      <c r="C40" s="24">
        <v>0.274725</v>
      </c>
    </row>
    <row r="41" spans="1:3" ht="15" customHeight="1" x14ac:dyDescent="0.3">
      <c r="A41" s="24" t="s">
        <v>337</v>
      </c>
      <c r="B41" s="25">
        <v>2.9487000000000001</v>
      </c>
      <c r="C41" s="24">
        <v>0.33913199999999999</v>
      </c>
    </row>
    <row r="42" spans="1:3" ht="15" customHeight="1" x14ac:dyDescent="0.3">
      <c r="A42" s="24" t="s">
        <v>338</v>
      </c>
      <c r="B42" s="25">
        <v>30.726400000000002</v>
      </c>
      <c r="C42" s="24">
        <v>3.2545299999999999E-2</v>
      </c>
    </row>
    <row r="43" spans="1:3" ht="15" customHeight="1" x14ac:dyDescent="0.3">
      <c r="A43" s="24" t="s">
        <v>339</v>
      </c>
      <c r="B43" s="25">
        <v>3.75</v>
      </c>
      <c r="C43" s="24">
        <v>0.26666699999999999</v>
      </c>
    </row>
    <row r="44" spans="1:3" ht="15" customHeight="1" x14ac:dyDescent="0.3">
      <c r="A44" s="24" t="s">
        <v>340</v>
      </c>
      <c r="B44" s="25">
        <v>1.4398299999999999</v>
      </c>
      <c r="C44" s="24">
        <v>0.69452599999999998</v>
      </c>
    </row>
    <row r="45" spans="1:3" ht="15" customHeight="1" x14ac:dyDescent="0.3">
      <c r="A45" s="24" t="s">
        <v>341</v>
      </c>
      <c r="B45" s="25">
        <v>7.7469299999999999</v>
      </c>
      <c r="C45" s="24">
        <v>0.129083</v>
      </c>
    </row>
    <row r="46" spans="1:3" ht="15" customHeight="1" x14ac:dyDescent="0.3">
      <c r="A46" s="24" t="s">
        <v>342</v>
      </c>
      <c r="B46" s="25">
        <v>1242.19</v>
      </c>
      <c r="C46" s="24">
        <v>8.0502999999999998E-4</v>
      </c>
    </row>
    <row r="47" spans="1:3" ht="15" customHeight="1" x14ac:dyDescent="0.3">
      <c r="A47" s="24" t="s">
        <v>343</v>
      </c>
      <c r="B47" s="25">
        <v>114.899</v>
      </c>
      <c r="C47" s="24">
        <v>8.7033000000000006E-3</v>
      </c>
    </row>
    <row r="48" spans="1:3" ht="15" customHeight="1" x14ac:dyDescent="0.3">
      <c r="A48" s="24" t="s">
        <v>344</v>
      </c>
      <c r="B48" s="25">
        <v>7.3771800000000001</v>
      </c>
      <c r="C48" s="24">
        <v>0.13555300000000001</v>
      </c>
    </row>
    <row r="49" spans="1:3" ht="15" customHeight="1" x14ac:dyDescent="0.3">
      <c r="A49" s="24" t="s">
        <v>345</v>
      </c>
      <c r="B49" s="25">
        <v>1.0678399999999999</v>
      </c>
      <c r="C49" s="24">
        <v>0.93647000000000002</v>
      </c>
    </row>
    <row r="50" spans="1:3" ht="15" customHeight="1" x14ac:dyDescent="0.3">
      <c r="A50" s="24" t="s">
        <v>346</v>
      </c>
      <c r="B50" s="25">
        <v>32.873199999999997</v>
      </c>
      <c r="C50" s="24">
        <v>3.04199E-2</v>
      </c>
    </row>
    <row r="51" spans="1:3" ht="15" customHeight="1" x14ac:dyDescent="0.3">
      <c r="A51" s="24" t="s">
        <v>347</v>
      </c>
      <c r="B51" s="25">
        <v>33.965200000000003</v>
      </c>
      <c r="C51" s="24">
        <v>2.94419E-2</v>
      </c>
    </row>
    <row r="52" spans="1:3" ht="15" customHeight="1" x14ac:dyDescent="0.3">
      <c r="A52" s="24" t="s">
        <v>348</v>
      </c>
      <c r="B52" s="25">
        <v>6.2234299999999996</v>
      </c>
      <c r="C52" s="24">
        <v>0.16068299999999999</v>
      </c>
    </row>
    <row r="53" spans="1:3" ht="15" customHeight="1" x14ac:dyDescent="0.3">
      <c r="A53" s="24" t="s">
        <v>349</v>
      </c>
      <c r="B53" s="25">
        <v>1.48027</v>
      </c>
      <c r="C53" s="24">
        <v>0.67555200000000004</v>
      </c>
    </row>
    <row r="54" spans="1:3" ht="15" customHeight="1" x14ac:dyDescent="0.3">
      <c r="A54" s="24" t="s">
        <v>350</v>
      </c>
      <c r="B54" s="25">
        <v>2.1472500000000001</v>
      </c>
      <c r="C54" s="24">
        <v>0.46571200000000001</v>
      </c>
    </row>
    <row r="55" spans="1:3" ht="15" customHeight="1" x14ac:dyDescent="0.3">
      <c r="A55" s="24" t="s">
        <v>355</v>
      </c>
      <c r="B55" s="25"/>
      <c r="C55" s="24"/>
    </row>
    <row r="56" spans="1:3" ht="15" customHeight="1" x14ac:dyDescent="0.3">
      <c r="A56" s="24"/>
      <c r="B56" s="25"/>
      <c r="C56" s="24"/>
    </row>
    <row r="57" spans="1:3" ht="15" customHeight="1" x14ac:dyDescent="0.3">
      <c r="A57" s="24" t="s">
        <v>352</v>
      </c>
      <c r="B57" s="25"/>
      <c r="C57" s="24"/>
    </row>
    <row r="58" spans="1:3" ht="15" customHeight="1" x14ac:dyDescent="0.3">
      <c r="A58" s="24"/>
      <c r="B58" s="25"/>
      <c r="C58" s="24"/>
    </row>
    <row r="59" spans="1:3" ht="15" customHeight="1" x14ac:dyDescent="0.3">
      <c r="A59" s="24" t="s">
        <v>353</v>
      </c>
      <c r="B59" s="25"/>
      <c r="C59" s="24"/>
    </row>
  </sheetData>
  <sheetProtection insertColumns="0" insertRows="0" deleteColumns="0" deleteRows="0"/>
  <customSheetViews>
    <customSheetView guid="{8A6DCCC5-D866-46E7-B008-2AB15BA7B0AA}">
      <selection activeCell="B12" sqref="B12"/>
      <pageMargins left="0.7" right="0.7" top="0.75" bottom="0.75" header="0.3" footer="0.3"/>
      <pageSetup orientation="portrait" horizontalDpi="1200" verticalDpi="1200" r:id="rId1"/>
    </customSheetView>
    <customSheetView guid="{2BB9D149-3035-471F-8023-B102C129B036}">
      <selection activeCell="B12" sqref="B12"/>
    </customSheetView>
  </customSheetViews>
  <pageMargins left="0.7" right="0.7" top="0.75" bottom="0.75" header="0.3" footer="0.3"/>
  <pageSetup orientation="portrait" horizontalDpi="1200" verticalDpi="1200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70"/>
  <sheetViews>
    <sheetView workbookViewId="0">
      <selection activeCell="B6" sqref="B6"/>
    </sheetView>
  </sheetViews>
  <sheetFormatPr defaultRowHeight="15" customHeight="1" x14ac:dyDescent="0.3"/>
  <cols>
    <col min="1" max="1" width="7.75" customWidth="1"/>
    <col min="2" max="2" width="25.5" customWidth="1"/>
    <col min="3" max="3" width="7.875" customWidth="1"/>
    <col min="4" max="4" width="8.5" customWidth="1"/>
    <col min="5" max="5" width="15.375" customWidth="1"/>
    <col min="6" max="6" width="7" customWidth="1"/>
    <col min="7" max="7" width="9.625" customWidth="1"/>
    <col min="8" max="9" width="10" customWidth="1"/>
    <col min="10" max="10" width="9.75" customWidth="1"/>
    <col min="11" max="11" width="10.875" customWidth="1"/>
    <col min="12" max="12" width="8.5" customWidth="1"/>
    <col min="13" max="13" width="10.875" customWidth="1"/>
    <col min="14" max="14" width="42.875" customWidth="1"/>
  </cols>
  <sheetData>
    <row r="1" spans="1:14" ht="15" customHeight="1" x14ac:dyDescent="0.3">
      <c r="A1" s="51" t="s">
        <v>139</v>
      </c>
      <c r="B1" s="51" t="s">
        <v>140</v>
      </c>
      <c r="C1" s="51" t="s">
        <v>141</v>
      </c>
      <c r="D1" s="51" t="s">
        <v>142</v>
      </c>
      <c r="E1" s="51" t="s">
        <v>143</v>
      </c>
      <c r="F1" s="51" t="s">
        <v>144</v>
      </c>
      <c r="G1" s="51" t="s">
        <v>145</v>
      </c>
      <c r="H1" s="51" t="s">
        <v>146</v>
      </c>
      <c r="I1" s="51" t="s">
        <v>147</v>
      </c>
      <c r="J1" s="51" t="s">
        <v>148</v>
      </c>
      <c r="K1" s="51" t="s">
        <v>149</v>
      </c>
      <c r="L1" s="51" t="s">
        <v>142</v>
      </c>
      <c r="M1" s="51" t="s">
        <v>149</v>
      </c>
      <c r="N1" s="51" t="s">
        <v>150</v>
      </c>
    </row>
    <row r="2" spans="1:14" ht="15" customHeight="1" x14ac:dyDescent="0.3">
      <c r="A2" s="51">
        <v>1</v>
      </c>
      <c r="B2" s="51" t="s">
        <v>151</v>
      </c>
      <c r="C2" s="51">
        <v>1</v>
      </c>
      <c r="D2" s="51">
        <v>1</v>
      </c>
      <c r="E2" s="51" t="s">
        <v>152</v>
      </c>
      <c r="F2" s="51">
        <v>18</v>
      </c>
      <c r="G2" s="51">
        <v>39</v>
      </c>
      <c r="H2" s="51">
        <v>0</v>
      </c>
      <c r="I2" s="51">
        <v>10</v>
      </c>
      <c r="J2" s="51">
        <v>0</v>
      </c>
      <c r="K2" s="51" t="s">
        <v>153</v>
      </c>
      <c r="L2" s="51">
        <v>1</v>
      </c>
      <c r="M2" s="51" t="s">
        <v>153</v>
      </c>
      <c r="N2" s="51" t="s">
        <v>413</v>
      </c>
    </row>
    <row r="3" spans="1:14" ht="15" customHeight="1" x14ac:dyDescent="0.3">
      <c r="A3" s="51">
        <v>2</v>
      </c>
      <c r="B3" s="51" t="s">
        <v>154</v>
      </c>
      <c r="C3" s="51">
        <v>1</v>
      </c>
      <c r="D3" s="51">
        <v>1</v>
      </c>
      <c r="E3" s="51" t="s">
        <v>155</v>
      </c>
      <c r="F3" s="51">
        <v>19</v>
      </c>
      <c r="G3" s="51">
        <v>17</v>
      </c>
      <c r="H3" s="51">
        <v>40</v>
      </c>
      <c r="I3" s="51">
        <v>25</v>
      </c>
      <c r="J3" s="51">
        <v>0</v>
      </c>
      <c r="K3" s="51" t="s">
        <v>153</v>
      </c>
      <c r="L3" s="51">
        <v>1</v>
      </c>
      <c r="M3" s="51" t="s">
        <v>153</v>
      </c>
      <c r="N3" s="51" t="s">
        <v>413</v>
      </c>
    </row>
    <row r="4" spans="1:14" ht="15" customHeight="1" x14ac:dyDescent="0.3">
      <c r="A4" s="51">
        <v>3</v>
      </c>
      <c r="B4" s="51" t="s">
        <v>156</v>
      </c>
      <c r="C4" s="51">
        <v>1</v>
      </c>
      <c r="D4" s="51">
        <v>2</v>
      </c>
      <c r="E4" s="51" t="s">
        <v>157</v>
      </c>
      <c r="F4" s="51">
        <v>10</v>
      </c>
      <c r="G4" s="51">
        <v>13</v>
      </c>
      <c r="H4" s="51">
        <v>70</v>
      </c>
      <c r="I4" s="51">
        <v>25</v>
      </c>
      <c r="J4" s="51">
        <v>0</v>
      </c>
      <c r="K4" s="51" t="s">
        <v>414</v>
      </c>
      <c r="L4" s="51">
        <v>2</v>
      </c>
      <c r="M4" s="51" t="s">
        <v>414</v>
      </c>
      <c r="N4" s="51" t="s">
        <v>158</v>
      </c>
    </row>
    <row r="5" spans="1:14" ht="15" customHeight="1" x14ac:dyDescent="0.3">
      <c r="A5" s="51">
        <v>4</v>
      </c>
      <c r="B5" s="51" t="s">
        <v>159</v>
      </c>
      <c r="C5" s="51">
        <v>2</v>
      </c>
      <c r="D5" s="51">
        <v>2</v>
      </c>
      <c r="E5" s="51" t="s">
        <v>160</v>
      </c>
      <c r="F5" s="51">
        <v>22</v>
      </c>
      <c r="G5" s="51">
        <v>53</v>
      </c>
      <c r="H5" s="51">
        <v>0</v>
      </c>
      <c r="I5" s="51">
        <v>0</v>
      </c>
      <c r="J5" s="51">
        <v>0</v>
      </c>
      <c r="K5" s="51" t="s">
        <v>414</v>
      </c>
      <c r="L5" s="51">
        <v>2</v>
      </c>
      <c r="M5" s="51" t="s">
        <v>414</v>
      </c>
      <c r="N5" s="51" t="s">
        <v>158</v>
      </c>
    </row>
    <row r="6" spans="1:14" ht="15" customHeight="1" x14ac:dyDescent="0.3">
      <c r="A6" s="51">
        <v>6</v>
      </c>
      <c r="B6" s="51" t="s">
        <v>161</v>
      </c>
      <c r="C6" s="51">
        <v>3</v>
      </c>
      <c r="D6" s="51">
        <v>2</v>
      </c>
      <c r="E6" s="51" t="s">
        <v>162</v>
      </c>
      <c r="F6" s="51">
        <v>25</v>
      </c>
      <c r="G6" s="51">
        <v>120</v>
      </c>
      <c r="H6" s="51">
        <v>0</v>
      </c>
      <c r="I6" s="51">
        <v>25</v>
      </c>
      <c r="J6" s="51">
        <v>0</v>
      </c>
      <c r="K6" s="51" t="s">
        <v>414</v>
      </c>
      <c r="L6" s="51">
        <v>2</v>
      </c>
      <c r="M6" s="51" t="s">
        <v>414</v>
      </c>
      <c r="N6" s="51" t="s">
        <v>158</v>
      </c>
    </row>
    <row r="7" spans="1:14" ht="15" customHeight="1" x14ac:dyDescent="0.3">
      <c r="A7" s="51">
        <v>7</v>
      </c>
      <c r="B7" s="51" t="s">
        <v>163</v>
      </c>
      <c r="C7" s="51">
        <v>3</v>
      </c>
      <c r="D7" s="51">
        <v>7</v>
      </c>
      <c r="E7" s="51" t="s">
        <v>164</v>
      </c>
      <c r="F7" s="51">
        <v>30</v>
      </c>
      <c r="G7" s="51">
        <v>15</v>
      </c>
      <c r="H7" s="51">
        <v>0</v>
      </c>
      <c r="I7" s="51">
        <v>10</v>
      </c>
      <c r="J7" s="51">
        <v>0</v>
      </c>
      <c r="K7" s="51" t="s">
        <v>165</v>
      </c>
      <c r="L7" s="51">
        <v>7</v>
      </c>
      <c r="M7" s="51" t="s">
        <v>165</v>
      </c>
      <c r="N7" s="51" t="s">
        <v>166</v>
      </c>
    </row>
    <row r="8" spans="1:14" ht="15" customHeight="1" x14ac:dyDescent="0.3">
      <c r="A8" s="51">
        <v>8</v>
      </c>
      <c r="B8" s="51" t="s">
        <v>167</v>
      </c>
      <c r="C8" s="51">
        <v>3</v>
      </c>
      <c r="D8" s="51">
        <v>2</v>
      </c>
      <c r="E8" s="51" t="s">
        <v>168</v>
      </c>
      <c r="F8" s="51">
        <v>40</v>
      </c>
      <c r="G8" s="51">
        <v>6</v>
      </c>
      <c r="H8" s="51">
        <v>0</v>
      </c>
      <c r="I8" s="51">
        <v>0</v>
      </c>
      <c r="J8" s="51">
        <v>0</v>
      </c>
      <c r="K8" s="51" t="s">
        <v>414</v>
      </c>
      <c r="L8" s="51">
        <v>2</v>
      </c>
      <c r="M8" s="51" t="s">
        <v>414</v>
      </c>
      <c r="N8" s="51" t="s">
        <v>158</v>
      </c>
    </row>
    <row r="9" spans="1:14" ht="15" customHeight="1" x14ac:dyDescent="0.3">
      <c r="A9" s="51">
        <v>10</v>
      </c>
      <c r="B9" s="51" t="s">
        <v>169</v>
      </c>
      <c r="C9" s="51">
        <v>4</v>
      </c>
      <c r="D9" s="51">
        <v>8</v>
      </c>
      <c r="E9" s="51" t="s">
        <v>170</v>
      </c>
      <c r="F9" s="51">
        <v>31</v>
      </c>
      <c r="G9" s="51">
        <v>31</v>
      </c>
      <c r="H9" s="51">
        <v>0</v>
      </c>
      <c r="I9" s="51">
        <v>0</v>
      </c>
      <c r="J9" s="51">
        <v>0</v>
      </c>
      <c r="K9" s="51" t="s">
        <v>171</v>
      </c>
      <c r="L9" s="51">
        <v>8</v>
      </c>
      <c r="M9" s="51" t="s">
        <v>171</v>
      </c>
      <c r="N9" s="51" t="s">
        <v>172</v>
      </c>
    </row>
    <row r="10" spans="1:14" ht="15" customHeight="1" x14ac:dyDescent="0.3">
      <c r="A10" s="51">
        <v>11</v>
      </c>
      <c r="B10" s="51" t="s">
        <v>173</v>
      </c>
      <c r="C10" s="51">
        <v>5</v>
      </c>
      <c r="D10" s="51">
        <v>4</v>
      </c>
      <c r="E10" s="51" t="s">
        <v>174</v>
      </c>
      <c r="F10" s="51">
        <v>21</v>
      </c>
      <c r="G10" s="51">
        <v>22</v>
      </c>
      <c r="H10" s="51">
        <v>30</v>
      </c>
      <c r="I10" s="51">
        <v>30</v>
      </c>
      <c r="J10" s="51">
        <v>0</v>
      </c>
      <c r="K10" s="51" t="s">
        <v>175</v>
      </c>
      <c r="L10" s="51">
        <v>4</v>
      </c>
      <c r="M10" s="51" t="s">
        <v>175</v>
      </c>
      <c r="N10" s="51" t="s">
        <v>176</v>
      </c>
    </row>
    <row r="11" spans="1:14" ht="15" customHeight="1" x14ac:dyDescent="0.3">
      <c r="A11" s="51">
        <v>12</v>
      </c>
      <c r="B11" s="51" t="s">
        <v>177</v>
      </c>
      <c r="C11" s="51">
        <v>5</v>
      </c>
      <c r="D11" s="51">
        <v>4</v>
      </c>
      <c r="E11" s="51" t="s">
        <v>178</v>
      </c>
      <c r="F11" s="51">
        <v>38</v>
      </c>
      <c r="G11" s="51">
        <v>86</v>
      </c>
      <c r="H11" s="51">
        <v>0</v>
      </c>
      <c r="I11" s="51">
        <v>0</v>
      </c>
      <c r="J11" s="51">
        <v>0</v>
      </c>
      <c r="K11" s="51" t="s">
        <v>175</v>
      </c>
      <c r="L11" s="51">
        <v>4</v>
      </c>
      <c r="M11" s="51" t="s">
        <v>175</v>
      </c>
      <c r="N11" s="51" t="s">
        <v>176</v>
      </c>
    </row>
    <row r="12" spans="1:14" ht="15" customHeight="1" x14ac:dyDescent="0.3">
      <c r="A12" s="51">
        <v>13</v>
      </c>
      <c r="B12" s="51" t="s">
        <v>179</v>
      </c>
      <c r="C12" s="51">
        <v>6</v>
      </c>
      <c r="D12" s="51">
        <v>8</v>
      </c>
      <c r="E12" s="51" t="s">
        <v>180</v>
      </c>
      <c r="F12" s="51">
        <v>6</v>
      </c>
      <c r="G12" s="51">
        <v>24</v>
      </c>
      <c r="H12" s="51">
        <v>0</v>
      </c>
      <c r="I12" s="51">
        <v>5</v>
      </c>
      <c r="J12" s="51">
        <v>0</v>
      </c>
      <c r="K12" s="51" t="s">
        <v>171</v>
      </c>
      <c r="L12" s="51">
        <v>8</v>
      </c>
      <c r="M12" s="51" t="s">
        <v>171</v>
      </c>
      <c r="N12" s="51" t="s">
        <v>172</v>
      </c>
    </row>
    <row r="13" spans="1:14" ht="15" customHeight="1" x14ac:dyDescent="0.3">
      <c r="A13" s="51">
        <v>14</v>
      </c>
      <c r="B13" s="51" t="s">
        <v>181</v>
      </c>
      <c r="C13" s="51">
        <v>6</v>
      </c>
      <c r="D13" s="51">
        <v>7</v>
      </c>
      <c r="E13" s="51" t="s">
        <v>182</v>
      </c>
      <c r="F13" s="51">
        <v>23.25</v>
      </c>
      <c r="G13" s="51">
        <v>35</v>
      </c>
      <c r="H13" s="51">
        <v>0</v>
      </c>
      <c r="I13" s="51">
        <v>0</v>
      </c>
      <c r="J13" s="51">
        <v>0</v>
      </c>
      <c r="K13" s="51" t="s">
        <v>165</v>
      </c>
      <c r="L13" s="51">
        <v>7</v>
      </c>
      <c r="M13" s="51" t="s">
        <v>165</v>
      </c>
      <c r="N13" s="51" t="s">
        <v>166</v>
      </c>
    </row>
    <row r="14" spans="1:14" ht="15" customHeight="1" x14ac:dyDescent="0.3">
      <c r="A14" s="51">
        <v>15</v>
      </c>
      <c r="B14" s="51" t="s">
        <v>183</v>
      </c>
      <c r="C14" s="51">
        <v>6</v>
      </c>
      <c r="D14" s="51">
        <v>2</v>
      </c>
      <c r="E14" s="51" t="s">
        <v>184</v>
      </c>
      <c r="F14" s="51">
        <v>15.5</v>
      </c>
      <c r="G14" s="51">
        <v>39</v>
      </c>
      <c r="H14" s="51">
        <v>0</v>
      </c>
      <c r="I14" s="51">
        <v>5</v>
      </c>
      <c r="J14" s="51">
        <v>0</v>
      </c>
      <c r="K14" s="51" t="s">
        <v>414</v>
      </c>
      <c r="L14" s="51">
        <v>2</v>
      </c>
      <c r="M14" s="51" t="s">
        <v>414</v>
      </c>
      <c r="N14" s="51" t="s">
        <v>158</v>
      </c>
    </row>
    <row r="15" spans="1:14" ht="15" customHeight="1" x14ac:dyDescent="0.3">
      <c r="A15" s="51">
        <v>16</v>
      </c>
      <c r="B15" s="51" t="s">
        <v>185</v>
      </c>
      <c r="C15" s="51">
        <v>7</v>
      </c>
      <c r="D15" s="51">
        <v>3</v>
      </c>
      <c r="E15" s="51" t="s">
        <v>186</v>
      </c>
      <c r="F15" s="51">
        <v>17.45</v>
      </c>
      <c r="G15" s="51">
        <v>29</v>
      </c>
      <c r="H15" s="51">
        <v>0</v>
      </c>
      <c r="I15" s="51">
        <v>10</v>
      </c>
      <c r="J15" s="51">
        <v>0</v>
      </c>
      <c r="K15" s="51" t="s">
        <v>187</v>
      </c>
      <c r="L15" s="51">
        <v>3</v>
      </c>
      <c r="M15" s="51" t="s">
        <v>187</v>
      </c>
      <c r="N15" s="51" t="s">
        <v>188</v>
      </c>
    </row>
    <row r="16" spans="1:14" ht="15" customHeight="1" x14ac:dyDescent="0.3">
      <c r="A16" s="51">
        <v>18</v>
      </c>
      <c r="B16" s="51" t="s">
        <v>189</v>
      </c>
      <c r="C16" s="51">
        <v>7</v>
      </c>
      <c r="D16" s="51">
        <v>8</v>
      </c>
      <c r="E16" s="51" t="s">
        <v>190</v>
      </c>
      <c r="F16" s="51">
        <v>62.5</v>
      </c>
      <c r="G16" s="51">
        <v>42</v>
      </c>
      <c r="H16" s="51">
        <v>0</v>
      </c>
      <c r="I16" s="51">
        <v>0</v>
      </c>
      <c r="J16" s="51">
        <v>0</v>
      </c>
      <c r="K16" s="51" t="s">
        <v>171</v>
      </c>
      <c r="L16" s="51">
        <v>8</v>
      </c>
      <c r="M16" s="51" t="s">
        <v>171</v>
      </c>
      <c r="N16" s="51" t="s">
        <v>172</v>
      </c>
    </row>
    <row r="17" spans="1:14" ht="15" customHeight="1" x14ac:dyDescent="0.3">
      <c r="A17" s="51">
        <v>19</v>
      </c>
      <c r="B17" s="51" t="s">
        <v>191</v>
      </c>
      <c r="C17" s="51">
        <v>8</v>
      </c>
      <c r="D17" s="51">
        <v>3</v>
      </c>
      <c r="E17" s="51" t="s">
        <v>192</v>
      </c>
      <c r="F17" s="51">
        <v>9.1999999999999993</v>
      </c>
      <c r="G17" s="51">
        <v>25</v>
      </c>
      <c r="H17" s="51">
        <v>0</v>
      </c>
      <c r="I17" s="51">
        <v>5</v>
      </c>
      <c r="J17" s="51">
        <v>0</v>
      </c>
      <c r="K17" s="51" t="s">
        <v>187</v>
      </c>
      <c r="L17" s="51">
        <v>3</v>
      </c>
      <c r="M17" s="51" t="s">
        <v>187</v>
      </c>
      <c r="N17" s="51" t="s">
        <v>188</v>
      </c>
    </row>
    <row r="18" spans="1:14" ht="15" customHeight="1" x14ac:dyDescent="0.3">
      <c r="A18" s="51">
        <v>20</v>
      </c>
      <c r="B18" s="51" t="s">
        <v>193</v>
      </c>
      <c r="C18" s="51">
        <v>8</v>
      </c>
      <c r="D18" s="51">
        <v>3</v>
      </c>
      <c r="E18" s="51" t="s">
        <v>194</v>
      </c>
      <c r="F18" s="51">
        <v>81</v>
      </c>
      <c r="G18" s="51">
        <v>40</v>
      </c>
      <c r="H18" s="51">
        <v>0</v>
      </c>
      <c r="I18" s="51">
        <v>0</v>
      </c>
      <c r="J18" s="51">
        <v>0</v>
      </c>
      <c r="K18" s="51" t="s">
        <v>187</v>
      </c>
      <c r="L18" s="51">
        <v>3</v>
      </c>
      <c r="M18" s="51" t="s">
        <v>187</v>
      </c>
      <c r="N18" s="51" t="s">
        <v>188</v>
      </c>
    </row>
    <row r="19" spans="1:14" ht="15" customHeight="1" x14ac:dyDescent="0.3">
      <c r="A19" s="51">
        <v>21</v>
      </c>
      <c r="B19" s="51" t="s">
        <v>195</v>
      </c>
      <c r="C19" s="51">
        <v>8</v>
      </c>
      <c r="D19" s="51">
        <v>3</v>
      </c>
      <c r="E19" s="51" t="s">
        <v>196</v>
      </c>
      <c r="F19" s="51">
        <v>10</v>
      </c>
      <c r="G19" s="51">
        <v>3</v>
      </c>
      <c r="H19" s="51">
        <v>40</v>
      </c>
      <c r="I19" s="51">
        <v>5</v>
      </c>
      <c r="J19" s="51">
        <v>0</v>
      </c>
      <c r="K19" s="51" t="s">
        <v>187</v>
      </c>
      <c r="L19" s="51">
        <v>3</v>
      </c>
      <c r="M19" s="51" t="s">
        <v>187</v>
      </c>
      <c r="N19" s="51" t="s">
        <v>188</v>
      </c>
    </row>
    <row r="20" spans="1:14" ht="15" customHeight="1" x14ac:dyDescent="0.3">
      <c r="A20" s="51">
        <v>22</v>
      </c>
      <c r="B20" s="51" t="s">
        <v>197</v>
      </c>
      <c r="C20" s="51">
        <v>9</v>
      </c>
      <c r="D20" s="51">
        <v>5</v>
      </c>
      <c r="E20" s="51" t="s">
        <v>198</v>
      </c>
      <c r="F20" s="51">
        <v>21</v>
      </c>
      <c r="G20" s="51">
        <v>104</v>
      </c>
      <c r="H20" s="51">
        <v>0</v>
      </c>
      <c r="I20" s="51">
        <v>25</v>
      </c>
      <c r="J20" s="51">
        <v>0</v>
      </c>
      <c r="K20" s="51" t="s">
        <v>199</v>
      </c>
      <c r="L20" s="51">
        <v>5</v>
      </c>
      <c r="M20" s="51" t="s">
        <v>199</v>
      </c>
      <c r="N20" s="51" t="s">
        <v>200</v>
      </c>
    </row>
    <row r="21" spans="1:14" ht="15" customHeight="1" x14ac:dyDescent="0.3">
      <c r="A21" s="51">
        <v>23</v>
      </c>
      <c r="B21" s="51" t="s">
        <v>201</v>
      </c>
      <c r="C21" s="51">
        <v>9</v>
      </c>
      <c r="D21" s="51">
        <v>5</v>
      </c>
      <c r="E21" s="51" t="s">
        <v>202</v>
      </c>
      <c r="F21" s="51">
        <v>9</v>
      </c>
      <c r="G21" s="51">
        <v>61</v>
      </c>
      <c r="H21" s="51">
        <v>0</v>
      </c>
      <c r="I21" s="51">
        <v>25</v>
      </c>
      <c r="J21" s="51">
        <v>0</v>
      </c>
      <c r="K21" s="51" t="s">
        <v>199</v>
      </c>
      <c r="L21" s="51">
        <v>5</v>
      </c>
      <c r="M21" s="51" t="s">
        <v>199</v>
      </c>
      <c r="N21" s="51" t="s">
        <v>200</v>
      </c>
    </row>
    <row r="22" spans="1:14" ht="15" customHeight="1" x14ac:dyDescent="0.3">
      <c r="A22" s="51">
        <v>25</v>
      </c>
      <c r="B22" s="51" t="s">
        <v>203</v>
      </c>
      <c r="C22" s="51">
        <v>11</v>
      </c>
      <c r="D22" s="51">
        <v>3</v>
      </c>
      <c r="E22" s="51" t="s">
        <v>204</v>
      </c>
      <c r="F22" s="51">
        <v>14</v>
      </c>
      <c r="G22" s="51">
        <v>76</v>
      </c>
      <c r="H22" s="51">
        <v>0</v>
      </c>
      <c r="I22" s="51">
        <v>30</v>
      </c>
      <c r="J22" s="51">
        <v>0</v>
      </c>
      <c r="K22" s="51" t="s">
        <v>187</v>
      </c>
      <c r="L22" s="51">
        <v>3</v>
      </c>
      <c r="M22" s="51" t="s">
        <v>187</v>
      </c>
      <c r="N22" s="51" t="s">
        <v>188</v>
      </c>
    </row>
    <row r="23" spans="1:14" ht="15" customHeight="1" x14ac:dyDescent="0.3">
      <c r="A23" s="51">
        <v>26</v>
      </c>
      <c r="B23" s="51" t="s">
        <v>205</v>
      </c>
      <c r="C23" s="51">
        <v>11</v>
      </c>
      <c r="D23" s="51">
        <v>3</v>
      </c>
      <c r="E23" s="51" t="s">
        <v>206</v>
      </c>
      <c r="F23" s="51">
        <v>31.23</v>
      </c>
      <c r="G23" s="51">
        <v>15</v>
      </c>
      <c r="H23" s="51">
        <v>0</v>
      </c>
      <c r="I23" s="51">
        <v>0</v>
      </c>
      <c r="J23" s="51">
        <v>0</v>
      </c>
      <c r="K23" s="51" t="s">
        <v>187</v>
      </c>
      <c r="L23" s="51">
        <v>3</v>
      </c>
      <c r="M23" s="51" t="s">
        <v>187</v>
      </c>
      <c r="N23" s="51" t="s">
        <v>188</v>
      </c>
    </row>
    <row r="24" spans="1:14" ht="15" customHeight="1" x14ac:dyDescent="0.3">
      <c r="A24" s="51">
        <v>27</v>
      </c>
      <c r="B24" s="51" t="s">
        <v>207</v>
      </c>
      <c r="C24" s="51">
        <v>11</v>
      </c>
      <c r="D24" s="51">
        <v>3</v>
      </c>
      <c r="E24" s="51" t="s">
        <v>208</v>
      </c>
      <c r="F24" s="51">
        <v>43.9</v>
      </c>
      <c r="G24" s="51">
        <v>49</v>
      </c>
      <c r="H24" s="51">
        <v>0</v>
      </c>
      <c r="I24" s="51">
        <v>30</v>
      </c>
      <c r="J24" s="51">
        <v>0</v>
      </c>
      <c r="K24" s="51" t="s">
        <v>187</v>
      </c>
      <c r="L24" s="51">
        <v>3</v>
      </c>
      <c r="M24" s="51" t="s">
        <v>187</v>
      </c>
      <c r="N24" s="51" t="s">
        <v>188</v>
      </c>
    </row>
    <row r="25" spans="1:14" ht="15" customHeight="1" x14ac:dyDescent="0.3">
      <c r="A25" s="51">
        <v>30</v>
      </c>
      <c r="B25" s="51" t="s">
        <v>209</v>
      </c>
      <c r="C25" s="51">
        <v>13</v>
      </c>
      <c r="D25" s="51">
        <v>8</v>
      </c>
      <c r="E25" s="51" t="s">
        <v>210</v>
      </c>
      <c r="F25" s="51">
        <v>25.89</v>
      </c>
      <c r="G25" s="51">
        <v>10</v>
      </c>
      <c r="H25" s="51">
        <v>0</v>
      </c>
      <c r="I25" s="51">
        <v>15</v>
      </c>
      <c r="J25" s="51">
        <v>0</v>
      </c>
      <c r="K25" s="51" t="s">
        <v>171</v>
      </c>
      <c r="L25" s="51">
        <v>8</v>
      </c>
      <c r="M25" s="51" t="s">
        <v>171</v>
      </c>
      <c r="N25" s="51" t="s">
        <v>172</v>
      </c>
    </row>
    <row r="26" spans="1:14" ht="15" customHeight="1" x14ac:dyDescent="0.3">
      <c r="A26" s="51">
        <v>31</v>
      </c>
      <c r="B26" s="51" t="s">
        <v>211</v>
      </c>
      <c r="C26" s="51">
        <v>14</v>
      </c>
      <c r="D26" s="51">
        <v>4</v>
      </c>
      <c r="E26" s="51" t="s">
        <v>212</v>
      </c>
      <c r="F26" s="51">
        <v>12.5</v>
      </c>
      <c r="G26" s="51">
        <v>0</v>
      </c>
      <c r="H26" s="51">
        <v>70</v>
      </c>
      <c r="I26" s="51">
        <v>20</v>
      </c>
      <c r="J26" s="51">
        <v>0</v>
      </c>
      <c r="K26" s="51" t="s">
        <v>175</v>
      </c>
      <c r="L26" s="51">
        <v>4</v>
      </c>
      <c r="M26" s="51" t="s">
        <v>175</v>
      </c>
      <c r="N26" s="51" t="s">
        <v>176</v>
      </c>
    </row>
    <row r="27" spans="1:14" ht="15" customHeight="1" x14ac:dyDescent="0.3">
      <c r="A27" s="51">
        <v>32</v>
      </c>
      <c r="B27" s="51" t="s">
        <v>213</v>
      </c>
      <c r="C27" s="51">
        <v>14</v>
      </c>
      <c r="D27" s="51">
        <v>4</v>
      </c>
      <c r="E27" s="51" t="s">
        <v>214</v>
      </c>
      <c r="F27" s="51">
        <v>32</v>
      </c>
      <c r="G27" s="51">
        <v>9</v>
      </c>
      <c r="H27" s="51">
        <v>40</v>
      </c>
      <c r="I27" s="51">
        <v>25</v>
      </c>
      <c r="J27" s="51">
        <v>0</v>
      </c>
      <c r="K27" s="51" t="s">
        <v>175</v>
      </c>
      <c r="L27" s="51">
        <v>4</v>
      </c>
      <c r="M27" s="51" t="s">
        <v>175</v>
      </c>
      <c r="N27" s="51" t="s">
        <v>176</v>
      </c>
    </row>
    <row r="28" spans="1:14" ht="15" customHeight="1" x14ac:dyDescent="0.3">
      <c r="A28" s="51">
        <v>33</v>
      </c>
      <c r="B28" s="51" t="s">
        <v>215</v>
      </c>
      <c r="C28" s="51">
        <v>15</v>
      </c>
      <c r="D28" s="51">
        <v>4</v>
      </c>
      <c r="E28" s="51" t="s">
        <v>216</v>
      </c>
      <c r="F28" s="51">
        <v>2.5</v>
      </c>
      <c r="G28" s="51">
        <v>112</v>
      </c>
      <c r="H28" s="51">
        <v>0</v>
      </c>
      <c r="I28" s="51">
        <v>20</v>
      </c>
      <c r="J28" s="51">
        <v>0</v>
      </c>
      <c r="K28" s="51" t="s">
        <v>175</v>
      </c>
      <c r="L28" s="51">
        <v>4</v>
      </c>
      <c r="M28" s="51" t="s">
        <v>175</v>
      </c>
      <c r="N28" s="51" t="s">
        <v>176</v>
      </c>
    </row>
    <row r="29" spans="1:14" ht="15" customHeight="1" x14ac:dyDescent="0.3">
      <c r="A29" s="51">
        <v>34</v>
      </c>
      <c r="B29" s="51" t="s">
        <v>217</v>
      </c>
      <c r="C29" s="51">
        <v>16</v>
      </c>
      <c r="D29" s="51">
        <v>1</v>
      </c>
      <c r="E29" s="51" t="s">
        <v>155</v>
      </c>
      <c r="F29" s="51">
        <v>14</v>
      </c>
      <c r="G29" s="51">
        <v>111</v>
      </c>
      <c r="H29" s="51">
        <v>0</v>
      </c>
      <c r="I29" s="51">
        <v>15</v>
      </c>
      <c r="J29" s="51">
        <v>0</v>
      </c>
      <c r="K29" s="51" t="s">
        <v>153</v>
      </c>
      <c r="L29" s="51">
        <v>1</v>
      </c>
      <c r="M29" s="51" t="s">
        <v>153</v>
      </c>
      <c r="N29" s="51" t="s">
        <v>413</v>
      </c>
    </row>
    <row r="30" spans="1:14" ht="15" customHeight="1" x14ac:dyDescent="0.3">
      <c r="A30" s="51">
        <v>35</v>
      </c>
      <c r="B30" s="51" t="s">
        <v>218</v>
      </c>
      <c r="C30" s="51">
        <v>16</v>
      </c>
      <c r="D30" s="51">
        <v>1</v>
      </c>
      <c r="E30" s="51" t="s">
        <v>155</v>
      </c>
      <c r="F30" s="51">
        <v>18</v>
      </c>
      <c r="G30" s="51">
        <v>20</v>
      </c>
      <c r="H30" s="51">
        <v>0</v>
      </c>
      <c r="I30" s="51">
        <v>15</v>
      </c>
      <c r="J30" s="51">
        <v>0</v>
      </c>
      <c r="K30" s="51" t="s">
        <v>153</v>
      </c>
      <c r="L30" s="51">
        <v>1</v>
      </c>
      <c r="M30" s="51" t="s">
        <v>153</v>
      </c>
      <c r="N30" s="51" t="s">
        <v>413</v>
      </c>
    </row>
    <row r="31" spans="1:14" ht="15" customHeight="1" x14ac:dyDescent="0.3">
      <c r="A31" s="51">
        <v>36</v>
      </c>
      <c r="B31" s="51" t="s">
        <v>219</v>
      </c>
      <c r="C31" s="51">
        <v>17</v>
      </c>
      <c r="D31" s="51">
        <v>8</v>
      </c>
      <c r="E31" s="51" t="s">
        <v>220</v>
      </c>
      <c r="F31" s="51">
        <v>19</v>
      </c>
      <c r="G31" s="51">
        <v>112</v>
      </c>
      <c r="H31" s="51">
        <v>0</v>
      </c>
      <c r="I31" s="51">
        <v>20</v>
      </c>
      <c r="J31" s="51">
        <v>0</v>
      </c>
      <c r="K31" s="51" t="s">
        <v>171</v>
      </c>
      <c r="L31" s="51">
        <v>8</v>
      </c>
      <c r="M31" s="51" t="s">
        <v>171</v>
      </c>
      <c r="N31" s="51" t="s">
        <v>172</v>
      </c>
    </row>
    <row r="32" spans="1:14" ht="15" customHeight="1" x14ac:dyDescent="0.3">
      <c r="A32" s="51">
        <v>37</v>
      </c>
      <c r="B32" s="51" t="s">
        <v>221</v>
      </c>
      <c r="C32" s="51">
        <v>17</v>
      </c>
      <c r="D32" s="51">
        <v>8</v>
      </c>
      <c r="E32" s="51" t="s">
        <v>222</v>
      </c>
      <c r="F32" s="51">
        <v>26</v>
      </c>
      <c r="G32" s="51">
        <v>11</v>
      </c>
      <c r="H32" s="51">
        <v>50</v>
      </c>
      <c r="I32" s="51">
        <v>25</v>
      </c>
      <c r="J32" s="51">
        <v>0</v>
      </c>
      <c r="K32" s="51" t="s">
        <v>171</v>
      </c>
      <c r="L32" s="51">
        <v>8</v>
      </c>
      <c r="M32" s="51" t="s">
        <v>171</v>
      </c>
      <c r="N32" s="51" t="s">
        <v>172</v>
      </c>
    </row>
    <row r="33" spans="1:14" ht="15" customHeight="1" x14ac:dyDescent="0.3">
      <c r="A33" s="51">
        <v>38</v>
      </c>
      <c r="B33" s="51" t="s">
        <v>223</v>
      </c>
      <c r="C33" s="51">
        <v>18</v>
      </c>
      <c r="D33" s="51">
        <v>1</v>
      </c>
      <c r="E33" s="51" t="s">
        <v>224</v>
      </c>
      <c r="F33" s="51">
        <v>263.5</v>
      </c>
      <c r="G33" s="51">
        <v>17</v>
      </c>
      <c r="H33" s="51">
        <v>0</v>
      </c>
      <c r="I33" s="51">
        <v>15</v>
      </c>
      <c r="J33" s="51">
        <v>0</v>
      </c>
      <c r="K33" s="51" t="s">
        <v>153</v>
      </c>
      <c r="L33" s="51">
        <v>1</v>
      </c>
      <c r="M33" s="51" t="s">
        <v>153</v>
      </c>
      <c r="N33" s="51" t="s">
        <v>413</v>
      </c>
    </row>
    <row r="34" spans="1:14" ht="15" customHeight="1" x14ac:dyDescent="0.3">
      <c r="A34" s="51">
        <v>39</v>
      </c>
      <c r="B34" s="51" t="s">
        <v>225</v>
      </c>
      <c r="C34" s="51">
        <v>18</v>
      </c>
      <c r="D34" s="51">
        <v>1</v>
      </c>
      <c r="E34" s="51" t="s">
        <v>226</v>
      </c>
      <c r="F34" s="51">
        <v>18</v>
      </c>
      <c r="G34" s="51">
        <v>69</v>
      </c>
      <c r="H34" s="51">
        <v>0</v>
      </c>
      <c r="I34" s="51">
        <v>5</v>
      </c>
      <c r="J34" s="51">
        <v>0</v>
      </c>
      <c r="K34" s="51" t="s">
        <v>153</v>
      </c>
      <c r="L34" s="51">
        <v>1</v>
      </c>
      <c r="M34" s="51" t="s">
        <v>153</v>
      </c>
      <c r="N34" s="51" t="s">
        <v>413</v>
      </c>
    </row>
    <row r="35" spans="1:14" ht="15" customHeight="1" x14ac:dyDescent="0.3">
      <c r="A35" s="51">
        <v>40</v>
      </c>
      <c r="B35" s="51" t="s">
        <v>227</v>
      </c>
      <c r="C35" s="51">
        <v>19</v>
      </c>
      <c r="D35" s="51">
        <v>8</v>
      </c>
      <c r="E35" s="51" t="s">
        <v>228</v>
      </c>
      <c r="F35" s="51">
        <v>18.399999999999999</v>
      </c>
      <c r="G35" s="51">
        <v>123</v>
      </c>
      <c r="H35" s="51">
        <v>0</v>
      </c>
      <c r="I35" s="51">
        <v>30</v>
      </c>
      <c r="J35" s="51">
        <v>0</v>
      </c>
      <c r="K35" s="51" t="s">
        <v>171</v>
      </c>
      <c r="L35" s="51">
        <v>8</v>
      </c>
      <c r="M35" s="51" t="s">
        <v>171</v>
      </c>
      <c r="N35" s="51" t="s">
        <v>172</v>
      </c>
    </row>
    <row r="36" spans="1:14" ht="15" customHeight="1" x14ac:dyDescent="0.3">
      <c r="A36" s="51">
        <v>41</v>
      </c>
      <c r="B36" s="51" t="s">
        <v>229</v>
      </c>
      <c r="C36" s="51">
        <v>19</v>
      </c>
      <c r="D36" s="51">
        <v>8</v>
      </c>
      <c r="E36" s="51" t="s">
        <v>230</v>
      </c>
      <c r="F36" s="51">
        <v>9.65</v>
      </c>
      <c r="G36" s="51">
        <v>85</v>
      </c>
      <c r="H36" s="51">
        <v>0</v>
      </c>
      <c r="I36" s="51">
        <v>10</v>
      </c>
      <c r="J36" s="51">
        <v>0</v>
      </c>
      <c r="K36" s="51" t="s">
        <v>171</v>
      </c>
      <c r="L36" s="51">
        <v>8</v>
      </c>
      <c r="M36" s="51" t="s">
        <v>171</v>
      </c>
      <c r="N36" s="51" t="s">
        <v>172</v>
      </c>
    </row>
    <row r="37" spans="1:14" ht="15" customHeight="1" x14ac:dyDescent="0.3">
      <c r="A37" s="51">
        <v>43</v>
      </c>
      <c r="B37" s="51" t="s">
        <v>231</v>
      </c>
      <c r="C37" s="51">
        <v>20</v>
      </c>
      <c r="D37" s="51">
        <v>1</v>
      </c>
      <c r="E37" s="51" t="s">
        <v>232</v>
      </c>
      <c r="F37" s="51">
        <v>46</v>
      </c>
      <c r="G37" s="51">
        <v>17</v>
      </c>
      <c r="H37" s="51">
        <v>10</v>
      </c>
      <c r="I37" s="51">
        <v>25</v>
      </c>
      <c r="J37" s="51">
        <v>0</v>
      </c>
      <c r="K37" s="51" t="s">
        <v>153</v>
      </c>
      <c r="L37" s="51">
        <v>1</v>
      </c>
      <c r="M37" s="51" t="s">
        <v>153</v>
      </c>
      <c r="N37" s="51" t="s">
        <v>413</v>
      </c>
    </row>
    <row r="38" spans="1:14" ht="15" customHeight="1" x14ac:dyDescent="0.3">
      <c r="A38" s="51">
        <v>44</v>
      </c>
      <c r="B38" s="51" t="s">
        <v>233</v>
      </c>
      <c r="C38" s="51">
        <v>20</v>
      </c>
      <c r="D38" s="51">
        <v>2</v>
      </c>
      <c r="E38" s="51" t="s">
        <v>234</v>
      </c>
      <c r="F38" s="51">
        <v>19.45</v>
      </c>
      <c r="G38" s="51">
        <v>27</v>
      </c>
      <c r="H38" s="51">
        <v>0</v>
      </c>
      <c r="I38" s="51">
        <v>15</v>
      </c>
      <c r="J38" s="51">
        <v>0</v>
      </c>
      <c r="K38" s="51" t="s">
        <v>414</v>
      </c>
      <c r="L38" s="51">
        <v>2</v>
      </c>
      <c r="M38" s="51" t="s">
        <v>414</v>
      </c>
      <c r="N38" s="51" t="s">
        <v>158</v>
      </c>
    </row>
    <row r="39" spans="1:14" ht="15" customHeight="1" x14ac:dyDescent="0.3">
      <c r="A39" s="51">
        <v>45</v>
      </c>
      <c r="B39" s="51" t="s">
        <v>235</v>
      </c>
      <c r="C39" s="51">
        <v>21</v>
      </c>
      <c r="D39" s="51">
        <v>8</v>
      </c>
      <c r="E39" s="51" t="s">
        <v>236</v>
      </c>
      <c r="F39" s="51">
        <v>9.5</v>
      </c>
      <c r="G39" s="51">
        <v>5</v>
      </c>
      <c r="H39" s="51">
        <v>70</v>
      </c>
      <c r="I39" s="51">
        <v>15</v>
      </c>
      <c r="J39" s="51">
        <v>0</v>
      </c>
      <c r="K39" s="51" t="s">
        <v>171</v>
      </c>
      <c r="L39" s="51">
        <v>8</v>
      </c>
      <c r="M39" s="51" t="s">
        <v>171</v>
      </c>
      <c r="N39" s="51" t="s">
        <v>172</v>
      </c>
    </row>
    <row r="40" spans="1:14" ht="15" customHeight="1" x14ac:dyDescent="0.3">
      <c r="A40" s="51">
        <v>46</v>
      </c>
      <c r="B40" s="51" t="s">
        <v>237</v>
      </c>
      <c r="C40" s="51">
        <v>21</v>
      </c>
      <c r="D40" s="51">
        <v>8</v>
      </c>
      <c r="E40" s="51" t="s">
        <v>238</v>
      </c>
      <c r="F40" s="51">
        <v>12</v>
      </c>
      <c r="G40" s="51">
        <v>95</v>
      </c>
      <c r="H40" s="51">
        <v>0</v>
      </c>
      <c r="I40" s="51">
        <v>0</v>
      </c>
      <c r="J40" s="51">
        <v>0</v>
      </c>
      <c r="K40" s="51" t="s">
        <v>171</v>
      </c>
      <c r="L40" s="51">
        <v>8</v>
      </c>
      <c r="M40" s="51" t="s">
        <v>171</v>
      </c>
      <c r="N40" s="51" t="s">
        <v>172</v>
      </c>
    </row>
    <row r="41" spans="1:14" ht="15" customHeight="1" x14ac:dyDescent="0.3">
      <c r="A41" s="51">
        <v>47</v>
      </c>
      <c r="B41" s="51" t="s">
        <v>239</v>
      </c>
      <c r="C41" s="51">
        <v>22</v>
      </c>
      <c r="D41" s="51">
        <v>3</v>
      </c>
      <c r="E41" s="51" t="s">
        <v>240</v>
      </c>
      <c r="F41" s="51">
        <v>9.5</v>
      </c>
      <c r="G41" s="51">
        <v>36</v>
      </c>
      <c r="H41" s="51">
        <v>0</v>
      </c>
      <c r="I41" s="51">
        <v>0</v>
      </c>
      <c r="J41" s="51">
        <v>0</v>
      </c>
      <c r="K41" s="51" t="s">
        <v>187</v>
      </c>
      <c r="L41" s="51">
        <v>3</v>
      </c>
      <c r="M41" s="51" t="s">
        <v>187</v>
      </c>
      <c r="N41" s="51" t="s">
        <v>188</v>
      </c>
    </row>
    <row r="42" spans="1:14" ht="15" customHeight="1" x14ac:dyDescent="0.3">
      <c r="A42" s="51">
        <v>48</v>
      </c>
      <c r="B42" s="51" t="s">
        <v>241</v>
      </c>
      <c r="C42" s="51">
        <v>22</v>
      </c>
      <c r="D42" s="51">
        <v>3</v>
      </c>
      <c r="E42" s="51" t="s">
        <v>242</v>
      </c>
      <c r="F42" s="51">
        <v>12.75</v>
      </c>
      <c r="G42" s="51">
        <v>15</v>
      </c>
      <c r="H42" s="51">
        <v>70</v>
      </c>
      <c r="I42" s="51">
        <v>25</v>
      </c>
      <c r="J42" s="51">
        <v>0</v>
      </c>
      <c r="K42" s="51" t="s">
        <v>187</v>
      </c>
      <c r="L42" s="51">
        <v>3</v>
      </c>
      <c r="M42" s="51" t="s">
        <v>187</v>
      </c>
      <c r="N42" s="51" t="s">
        <v>188</v>
      </c>
    </row>
    <row r="43" spans="1:14" ht="15" customHeight="1" x14ac:dyDescent="0.3">
      <c r="A43" s="51">
        <v>49</v>
      </c>
      <c r="B43" s="51" t="s">
        <v>243</v>
      </c>
      <c r="C43" s="51">
        <v>23</v>
      </c>
      <c r="D43" s="51">
        <v>3</v>
      </c>
      <c r="E43" s="51" t="s">
        <v>244</v>
      </c>
      <c r="F43" s="51">
        <v>20</v>
      </c>
      <c r="G43" s="51">
        <v>10</v>
      </c>
      <c r="H43" s="51">
        <v>60</v>
      </c>
      <c r="I43" s="51">
        <v>15</v>
      </c>
      <c r="J43" s="51">
        <v>0</v>
      </c>
      <c r="K43" s="51" t="s">
        <v>187</v>
      </c>
      <c r="L43" s="51">
        <v>3</v>
      </c>
      <c r="M43" s="51" t="s">
        <v>187</v>
      </c>
      <c r="N43" s="51" t="s">
        <v>188</v>
      </c>
    </row>
    <row r="44" spans="1:14" ht="15" customHeight="1" x14ac:dyDescent="0.3">
      <c r="A44" s="51">
        <v>50</v>
      </c>
      <c r="B44" s="51" t="s">
        <v>245</v>
      </c>
      <c r="C44" s="51">
        <v>23</v>
      </c>
      <c r="D44" s="51">
        <v>3</v>
      </c>
      <c r="E44" s="51" t="s">
        <v>246</v>
      </c>
      <c r="F44" s="51">
        <v>16.25</v>
      </c>
      <c r="G44" s="51">
        <v>65</v>
      </c>
      <c r="H44" s="51">
        <v>0</v>
      </c>
      <c r="I44" s="51">
        <v>30</v>
      </c>
      <c r="J44" s="51">
        <v>0</v>
      </c>
      <c r="K44" s="51" t="s">
        <v>187</v>
      </c>
      <c r="L44" s="51">
        <v>3</v>
      </c>
      <c r="M44" s="51" t="s">
        <v>187</v>
      </c>
      <c r="N44" s="51" t="s">
        <v>188</v>
      </c>
    </row>
    <row r="45" spans="1:14" ht="16.5" x14ac:dyDescent="0.3">
      <c r="A45" s="51">
        <v>51</v>
      </c>
      <c r="B45" s="51" t="s">
        <v>247</v>
      </c>
      <c r="C45" s="51">
        <v>24</v>
      </c>
      <c r="D45" s="51">
        <v>7</v>
      </c>
      <c r="E45" s="51" t="s">
        <v>248</v>
      </c>
      <c r="F45" s="51">
        <v>53</v>
      </c>
      <c r="G45" s="51">
        <v>20</v>
      </c>
      <c r="H45" s="51">
        <v>0</v>
      </c>
      <c r="I45" s="51">
        <v>10</v>
      </c>
      <c r="J45" s="51">
        <v>0</v>
      </c>
      <c r="K45" s="51" t="s">
        <v>165</v>
      </c>
      <c r="L45" s="51">
        <v>7</v>
      </c>
      <c r="M45" s="51" t="s">
        <v>165</v>
      </c>
      <c r="N45" s="51" t="s">
        <v>166</v>
      </c>
    </row>
    <row r="46" spans="1:14" ht="16.5" x14ac:dyDescent="0.3">
      <c r="A46" s="51">
        <v>52</v>
      </c>
      <c r="B46" s="51" t="s">
        <v>249</v>
      </c>
      <c r="C46" s="51">
        <v>24</v>
      </c>
      <c r="D46" s="51">
        <v>5</v>
      </c>
      <c r="E46" s="51" t="s">
        <v>250</v>
      </c>
      <c r="F46" s="51">
        <v>7</v>
      </c>
      <c r="G46" s="51">
        <v>38</v>
      </c>
      <c r="H46" s="51">
        <v>0</v>
      </c>
      <c r="I46" s="51">
        <v>25</v>
      </c>
      <c r="J46" s="51">
        <v>0</v>
      </c>
      <c r="K46" s="51" t="s">
        <v>199</v>
      </c>
      <c r="L46" s="51">
        <v>5</v>
      </c>
      <c r="M46" s="51" t="s">
        <v>199</v>
      </c>
      <c r="N46" s="51" t="s">
        <v>200</v>
      </c>
    </row>
    <row r="47" spans="1:14" ht="16.5" x14ac:dyDescent="0.3">
      <c r="A47" s="51">
        <v>54</v>
      </c>
      <c r="B47" s="51" t="s">
        <v>251</v>
      </c>
      <c r="C47" s="51">
        <v>25</v>
      </c>
      <c r="D47" s="51">
        <v>6</v>
      </c>
      <c r="E47" s="51" t="s">
        <v>252</v>
      </c>
      <c r="F47" s="51">
        <v>7.45</v>
      </c>
      <c r="G47" s="51">
        <v>21</v>
      </c>
      <c r="H47" s="51">
        <v>0</v>
      </c>
      <c r="I47" s="51">
        <v>10</v>
      </c>
      <c r="J47" s="51">
        <v>0</v>
      </c>
      <c r="K47" s="51" t="s">
        <v>253</v>
      </c>
      <c r="L47" s="51">
        <v>6</v>
      </c>
      <c r="M47" s="51" t="s">
        <v>253</v>
      </c>
      <c r="N47" s="51" t="s">
        <v>254</v>
      </c>
    </row>
    <row r="48" spans="1:14" ht="16.5" x14ac:dyDescent="0.3">
      <c r="A48" s="52">
        <v>55</v>
      </c>
      <c r="B48" s="52" t="s">
        <v>255</v>
      </c>
      <c r="C48" s="52">
        <v>25</v>
      </c>
      <c r="D48" s="52">
        <v>6</v>
      </c>
      <c r="E48" s="52" t="s">
        <v>256</v>
      </c>
      <c r="F48" s="52">
        <v>24</v>
      </c>
      <c r="G48" s="52">
        <v>115</v>
      </c>
      <c r="H48" s="52">
        <v>0</v>
      </c>
      <c r="I48" s="52">
        <v>20</v>
      </c>
      <c r="J48" s="52">
        <v>0</v>
      </c>
      <c r="K48" s="52" t="s">
        <v>253</v>
      </c>
      <c r="L48" s="52">
        <v>6</v>
      </c>
      <c r="M48" s="52" t="s">
        <v>253</v>
      </c>
      <c r="N48" s="52" t="s">
        <v>254</v>
      </c>
    </row>
    <row r="49" spans="1:14" ht="16.5" x14ac:dyDescent="0.3">
      <c r="A49" s="52">
        <v>56</v>
      </c>
      <c r="B49" s="52" t="s">
        <v>257</v>
      </c>
      <c r="C49" s="52">
        <v>26</v>
      </c>
      <c r="D49" s="52">
        <v>5</v>
      </c>
      <c r="E49" s="52" t="s">
        <v>258</v>
      </c>
      <c r="F49" s="52">
        <v>38</v>
      </c>
      <c r="G49" s="52">
        <v>21</v>
      </c>
      <c r="H49" s="52">
        <v>10</v>
      </c>
      <c r="I49" s="52">
        <v>30</v>
      </c>
      <c r="J49" s="52">
        <v>0</v>
      </c>
      <c r="K49" s="52" t="s">
        <v>199</v>
      </c>
      <c r="L49" s="52">
        <v>5</v>
      </c>
      <c r="M49" s="52" t="s">
        <v>199</v>
      </c>
      <c r="N49" s="52" t="s">
        <v>200</v>
      </c>
    </row>
    <row r="50" spans="1:14" ht="16.5" x14ac:dyDescent="0.3">
      <c r="A50" s="52">
        <v>57</v>
      </c>
      <c r="B50" s="52" t="s">
        <v>259</v>
      </c>
      <c r="C50" s="52">
        <v>26</v>
      </c>
      <c r="D50" s="52">
        <v>5</v>
      </c>
      <c r="E50" s="52" t="s">
        <v>258</v>
      </c>
      <c r="F50" s="52">
        <v>19.5</v>
      </c>
      <c r="G50" s="52">
        <v>36</v>
      </c>
      <c r="H50" s="52">
        <v>0</v>
      </c>
      <c r="I50" s="52">
        <v>20</v>
      </c>
      <c r="J50" s="52">
        <v>0</v>
      </c>
      <c r="K50" s="52" t="s">
        <v>199</v>
      </c>
      <c r="L50" s="52">
        <v>5</v>
      </c>
      <c r="M50" s="52" t="s">
        <v>199</v>
      </c>
      <c r="N50" s="52" t="s">
        <v>200</v>
      </c>
    </row>
    <row r="51" spans="1:14" ht="16.5" x14ac:dyDescent="0.3">
      <c r="A51" s="52">
        <v>58</v>
      </c>
      <c r="B51" s="52" t="s">
        <v>260</v>
      </c>
      <c r="C51" s="52">
        <v>27</v>
      </c>
      <c r="D51" s="52">
        <v>8</v>
      </c>
      <c r="E51" s="52" t="s">
        <v>261</v>
      </c>
      <c r="F51" s="52">
        <v>13.25</v>
      </c>
      <c r="G51" s="52">
        <v>62</v>
      </c>
      <c r="H51" s="52">
        <v>0</v>
      </c>
      <c r="I51" s="52">
        <v>20</v>
      </c>
      <c r="J51" s="52">
        <v>0</v>
      </c>
      <c r="K51" s="52" t="s">
        <v>171</v>
      </c>
      <c r="L51" s="52">
        <v>8</v>
      </c>
      <c r="M51" s="52" t="s">
        <v>171</v>
      </c>
      <c r="N51" s="52" t="s">
        <v>172</v>
      </c>
    </row>
    <row r="52" spans="1:14" ht="16.5" x14ac:dyDescent="0.3">
      <c r="A52" s="52">
        <v>59</v>
      </c>
      <c r="B52" s="52" t="s">
        <v>262</v>
      </c>
      <c r="C52" s="52">
        <v>28</v>
      </c>
      <c r="D52" s="52">
        <v>4</v>
      </c>
      <c r="E52" s="52" t="s">
        <v>263</v>
      </c>
      <c r="F52" s="52">
        <v>55</v>
      </c>
      <c r="G52" s="52">
        <v>79</v>
      </c>
      <c r="H52" s="52">
        <v>0</v>
      </c>
      <c r="I52" s="52">
        <v>0</v>
      </c>
      <c r="J52" s="52">
        <v>0</v>
      </c>
      <c r="K52" s="52" t="s">
        <v>175</v>
      </c>
      <c r="L52" s="52">
        <v>4</v>
      </c>
      <c r="M52" s="52" t="s">
        <v>175</v>
      </c>
      <c r="N52" s="52" t="s">
        <v>176</v>
      </c>
    </row>
    <row r="53" spans="1:14" ht="16.5" x14ac:dyDescent="0.3">
      <c r="A53" s="52">
        <v>60</v>
      </c>
      <c r="B53" s="52" t="s">
        <v>264</v>
      </c>
      <c r="C53" s="52">
        <v>28</v>
      </c>
      <c r="D53" s="52">
        <v>4</v>
      </c>
      <c r="E53" s="52" t="s">
        <v>265</v>
      </c>
      <c r="F53" s="52">
        <v>34</v>
      </c>
      <c r="G53" s="52">
        <v>19</v>
      </c>
      <c r="H53" s="52">
        <v>0</v>
      </c>
      <c r="I53" s="52">
        <v>0</v>
      </c>
      <c r="J53" s="52">
        <v>0</v>
      </c>
      <c r="K53" s="52" t="s">
        <v>175</v>
      </c>
      <c r="L53" s="52">
        <v>4</v>
      </c>
      <c r="M53" s="52" t="s">
        <v>175</v>
      </c>
      <c r="N53" s="52" t="s">
        <v>176</v>
      </c>
    </row>
    <row r="54" spans="1:14" ht="16.5" x14ac:dyDescent="0.3">
      <c r="A54" s="52">
        <v>61</v>
      </c>
      <c r="B54" s="52" t="s">
        <v>266</v>
      </c>
      <c r="C54" s="52">
        <v>29</v>
      </c>
      <c r="D54" s="52">
        <v>2</v>
      </c>
      <c r="E54" s="52" t="s">
        <v>267</v>
      </c>
      <c r="F54" s="52">
        <v>28.5</v>
      </c>
      <c r="G54" s="52">
        <v>113</v>
      </c>
      <c r="H54" s="52">
        <v>0</v>
      </c>
      <c r="I54" s="52">
        <v>25</v>
      </c>
      <c r="J54" s="52">
        <v>0</v>
      </c>
      <c r="K54" s="52" t="s">
        <v>414</v>
      </c>
      <c r="L54" s="52">
        <v>2</v>
      </c>
      <c r="M54" s="52" t="s">
        <v>414</v>
      </c>
      <c r="N54" s="52" t="s">
        <v>158</v>
      </c>
    </row>
    <row r="55" spans="1:14" ht="16.5" x14ac:dyDescent="0.3">
      <c r="A55" s="52">
        <v>62</v>
      </c>
      <c r="B55" s="52" t="s">
        <v>268</v>
      </c>
      <c r="C55" s="52">
        <v>29</v>
      </c>
      <c r="D55" s="52">
        <v>3</v>
      </c>
      <c r="E55" s="52" t="s">
        <v>269</v>
      </c>
      <c r="F55" s="52">
        <v>49.3</v>
      </c>
      <c r="G55" s="52">
        <v>17</v>
      </c>
      <c r="H55" s="52">
        <v>0</v>
      </c>
      <c r="I55" s="52">
        <v>0</v>
      </c>
      <c r="J55" s="52">
        <v>0</v>
      </c>
      <c r="K55" s="52" t="s">
        <v>187</v>
      </c>
      <c r="L55" s="52">
        <v>3</v>
      </c>
      <c r="M55" s="52" t="s">
        <v>187</v>
      </c>
      <c r="N55" s="52" t="s">
        <v>188</v>
      </c>
    </row>
    <row r="56" spans="1:14" ht="16.5" x14ac:dyDescent="0.3">
      <c r="A56" s="52">
        <v>63</v>
      </c>
      <c r="B56" s="52" t="s">
        <v>270</v>
      </c>
      <c r="C56" s="52">
        <v>7</v>
      </c>
      <c r="D56" s="52">
        <v>2</v>
      </c>
      <c r="E56" s="52" t="s">
        <v>271</v>
      </c>
      <c r="F56" s="52">
        <v>43.9</v>
      </c>
      <c r="G56" s="52">
        <v>24</v>
      </c>
      <c r="H56" s="52">
        <v>0</v>
      </c>
      <c r="I56" s="52">
        <v>5</v>
      </c>
      <c r="J56" s="52">
        <v>0</v>
      </c>
      <c r="K56" s="52" t="s">
        <v>414</v>
      </c>
      <c r="L56" s="52">
        <v>2</v>
      </c>
      <c r="M56" s="52" t="s">
        <v>414</v>
      </c>
      <c r="N56" s="52" t="s">
        <v>158</v>
      </c>
    </row>
    <row r="57" spans="1:14" ht="16.5" x14ac:dyDescent="0.3">
      <c r="A57" s="52">
        <v>64</v>
      </c>
      <c r="B57" s="52" t="s">
        <v>272</v>
      </c>
      <c r="C57" s="52">
        <v>12</v>
      </c>
      <c r="D57" s="52">
        <v>5</v>
      </c>
      <c r="E57" s="52" t="s">
        <v>273</v>
      </c>
      <c r="F57" s="52">
        <v>33.25</v>
      </c>
      <c r="G57" s="52">
        <v>22</v>
      </c>
      <c r="H57" s="52">
        <v>80</v>
      </c>
      <c r="I57" s="52">
        <v>30</v>
      </c>
      <c r="J57" s="52">
        <v>0</v>
      </c>
      <c r="K57" s="52" t="s">
        <v>199</v>
      </c>
      <c r="L57" s="52">
        <v>5</v>
      </c>
      <c r="M57" s="52" t="s">
        <v>199</v>
      </c>
      <c r="N57" s="52" t="s">
        <v>200</v>
      </c>
    </row>
    <row r="58" spans="1:14" ht="16.5" x14ac:dyDescent="0.3">
      <c r="A58" s="52">
        <v>65</v>
      </c>
      <c r="B58" s="52" t="s">
        <v>274</v>
      </c>
      <c r="C58" s="52">
        <v>2</v>
      </c>
      <c r="D58" s="52">
        <v>2</v>
      </c>
      <c r="E58" s="52" t="s">
        <v>275</v>
      </c>
      <c r="F58" s="52">
        <v>21.05</v>
      </c>
      <c r="G58" s="52">
        <v>76</v>
      </c>
      <c r="H58" s="52">
        <v>0</v>
      </c>
      <c r="I58" s="52">
        <v>0</v>
      </c>
      <c r="J58" s="52">
        <v>0</v>
      </c>
      <c r="K58" s="52" t="s">
        <v>414</v>
      </c>
      <c r="L58" s="52">
        <v>2</v>
      </c>
      <c r="M58" s="52" t="s">
        <v>414</v>
      </c>
      <c r="N58" s="52" t="s">
        <v>158</v>
      </c>
    </row>
    <row r="59" spans="1:14" ht="16.5" x14ac:dyDescent="0.3">
      <c r="A59" s="52">
        <v>66</v>
      </c>
      <c r="B59" s="52" t="s">
        <v>276</v>
      </c>
      <c r="C59" s="52">
        <v>2</v>
      </c>
      <c r="D59" s="52">
        <v>2</v>
      </c>
      <c r="E59" s="52" t="s">
        <v>277</v>
      </c>
      <c r="F59" s="52">
        <v>17</v>
      </c>
      <c r="G59" s="52">
        <v>4</v>
      </c>
      <c r="H59" s="52">
        <v>100</v>
      </c>
      <c r="I59" s="52">
        <v>20</v>
      </c>
      <c r="J59" s="52">
        <v>0</v>
      </c>
      <c r="K59" s="52" t="s">
        <v>414</v>
      </c>
      <c r="L59" s="52">
        <v>2</v>
      </c>
      <c r="M59" s="52" t="s">
        <v>414</v>
      </c>
      <c r="N59" s="52" t="s">
        <v>158</v>
      </c>
    </row>
    <row r="60" spans="1:14" ht="16.5" x14ac:dyDescent="0.3">
      <c r="A60" s="52">
        <v>67</v>
      </c>
      <c r="B60" s="52" t="s">
        <v>278</v>
      </c>
      <c r="C60" s="52">
        <v>16</v>
      </c>
      <c r="D60" s="52">
        <v>1</v>
      </c>
      <c r="E60" s="52" t="s">
        <v>155</v>
      </c>
      <c r="F60" s="52">
        <v>14</v>
      </c>
      <c r="G60" s="52">
        <v>52</v>
      </c>
      <c r="H60" s="52">
        <v>0</v>
      </c>
      <c r="I60" s="52">
        <v>10</v>
      </c>
      <c r="J60" s="52">
        <v>0</v>
      </c>
      <c r="K60" s="52" t="s">
        <v>153</v>
      </c>
      <c r="L60" s="52">
        <v>1</v>
      </c>
      <c r="M60" s="52" t="s">
        <v>153</v>
      </c>
      <c r="N60" s="52" t="s">
        <v>413</v>
      </c>
    </row>
    <row r="61" spans="1:14" ht="16.5" x14ac:dyDescent="0.3">
      <c r="A61" s="52">
        <v>68</v>
      </c>
      <c r="B61" s="52" t="s">
        <v>279</v>
      </c>
      <c r="C61" s="52">
        <v>8</v>
      </c>
      <c r="D61" s="52">
        <v>3</v>
      </c>
      <c r="E61" s="52" t="s">
        <v>280</v>
      </c>
      <c r="F61" s="52">
        <v>12.5</v>
      </c>
      <c r="G61" s="52">
        <v>6</v>
      </c>
      <c r="H61" s="52">
        <v>10</v>
      </c>
      <c r="I61" s="52">
        <v>15</v>
      </c>
      <c r="J61" s="52">
        <v>0</v>
      </c>
      <c r="K61" s="52" t="s">
        <v>187</v>
      </c>
      <c r="L61" s="52">
        <v>3</v>
      </c>
      <c r="M61" s="52" t="s">
        <v>187</v>
      </c>
      <c r="N61" s="52" t="s">
        <v>188</v>
      </c>
    </row>
    <row r="62" spans="1:14" ht="16.5" x14ac:dyDescent="0.3">
      <c r="A62" s="52">
        <v>69</v>
      </c>
      <c r="B62" s="52" t="s">
        <v>281</v>
      </c>
      <c r="C62" s="52">
        <v>15</v>
      </c>
      <c r="D62" s="52">
        <v>4</v>
      </c>
      <c r="E62" s="52" t="s">
        <v>282</v>
      </c>
      <c r="F62" s="52">
        <v>36</v>
      </c>
      <c r="G62" s="52">
        <v>26</v>
      </c>
      <c r="H62" s="52">
        <v>0</v>
      </c>
      <c r="I62" s="52">
        <v>15</v>
      </c>
      <c r="J62" s="52">
        <v>0</v>
      </c>
      <c r="K62" s="52" t="s">
        <v>175</v>
      </c>
      <c r="L62" s="52">
        <v>4</v>
      </c>
      <c r="M62" s="52" t="s">
        <v>175</v>
      </c>
      <c r="N62" s="52" t="s">
        <v>176</v>
      </c>
    </row>
    <row r="63" spans="1:14" ht="16.5" x14ac:dyDescent="0.3">
      <c r="A63" s="52">
        <v>70</v>
      </c>
      <c r="B63" s="52" t="s">
        <v>283</v>
      </c>
      <c r="C63" s="52">
        <v>7</v>
      </c>
      <c r="D63" s="52">
        <v>1</v>
      </c>
      <c r="E63" s="52" t="s">
        <v>284</v>
      </c>
      <c r="F63" s="52">
        <v>15</v>
      </c>
      <c r="G63" s="52">
        <v>15</v>
      </c>
      <c r="H63" s="52">
        <v>10</v>
      </c>
      <c r="I63" s="52">
        <v>30</v>
      </c>
      <c r="J63" s="52">
        <v>0</v>
      </c>
      <c r="K63" s="52" t="s">
        <v>153</v>
      </c>
      <c r="L63" s="52">
        <v>1</v>
      </c>
      <c r="M63" s="52" t="s">
        <v>153</v>
      </c>
      <c r="N63" s="52" t="s">
        <v>413</v>
      </c>
    </row>
    <row r="64" spans="1:14" ht="16.5" x14ac:dyDescent="0.3">
      <c r="A64" s="52">
        <v>71</v>
      </c>
      <c r="B64" s="52" t="s">
        <v>285</v>
      </c>
      <c r="C64" s="52">
        <v>15</v>
      </c>
      <c r="D64" s="52">
        <v>4</v>
      </c>
      <c r="E64" s="52" t="s">
        <v>178</v>
      </c>
      <c r="F64" s="52">
        <v>21.5</v>
      </c>
      <c r="G64" s="52">
        <v>26</v>
      </c>
      <c r="H64" s="52">
        <v>0</v>
      </c>
      <c r="I64" s="52">
        <v>0</v>
      </c>
      <c r="J64" s="52">
        <v>0</v>
      </c>
      <c r="K64" s="52" t="s">
        <v>175</v>
      </c>
      <c r="L64" s="52">
        <v>4</v>
      </c>
      <c r="M64" s="52" t="s">
        <v>175</v>
      </c>
      <c r="N64" s="52" t="s">
        <v>176</v>
      </c>
    </row>
    <row r="65" spans="1:14" ht="16.5" x14ac:dyDescent="0.3">
      <c r="A65" s="52">
        <v>72</v>
      </c>
      <c r="B65" s="52" t="s">
        <v>286</v>
      </c>
      <c r="C65" s="52">
        <v>14</v>
      </c>
      <c r="D65" s="52">
        <v>4</v>
      </c>
      <c r="E65" s="52" t="s">
        <v>214</v>
      </c>
      <c r="F65" s="52">
        <v>34.799999999999997</v>
      </c>
      <c r="G65" s="52">
        <v>14</v>
      </c>
      <c r="H65" s="52">
        <v>0</v>
      </c>
      <c r="I65" s="52">
        <v>0</v>
      </c>
      <c r="J65" s="52">
        <v>0</v>
      </c>
      <c r="K65" s="52" t="s">
        <v>175</v>
      </c>
      <c r="L65" s="52">
        <v>4</v>
      </c>
      <c r="M65" s="52" t="s">
        <v>175</v>
      </c>
      <c r="N65" s="52" t="s">
        <v>176</v>
      </c>
    </row>
    <row r="66" spans="1:14" ht="16.5" x14ac:dyDescent="0.3">
      <c r="A66" s="52">
        <v>73</v>
      </c>
      <c r="B66" s="52" t="s">
        <v>287</v>
      </c>
      <c r="C66" s="52">
        <v>17</v>
      </c>
      <c r="D66" s="52">
        <v>8</v>
      </c>
      <c r="E66" s="52" t="s">
        <v>288</v>
      </c>
      <c r="F66" s="52">
        <v>15</v>
      </c>
      <c r="G66" s="52">
        <v>101</v>
      </c>
      <c r="H66" s="52">
        <v>0</v>
      </c>
      <c r="I66" s="52">
        <v>5</v>
      </c>
      <c r="J66" s="52">
        <v>0</v>
      </c>
      <c r="K66" s="52" t="s">
        <v>171</v>
      </c>
      <c r="L66" s="52">
        <v>8</v>
      </c>
      <c r="M66" s="52" t="s">
        <v>171</v>
      </c>
      <c r="N66" s="52" t="s">
        <v>172</v>
      </c>
    </row>
    <row r="67" spans="1:14" ht="16.5" x14ac:dyDescent="0.3">
      <c r="A67" s="52">
        <v>74</v>
      </c>
      <c r="B67" s="52" t="s">
        <v>289</v>
      </c>
      <c r="C67" s="52">
        <v>4</v>
      </c>
      <c r="D67" s="52">
        <v>7</v>
      </c>
      <c r="E67" s="52" t="s">
        <v>263</v>
      </c>
      <c r="F67" s="52">
        <v>10</v>
      </c>
      <c r="G67" s="52">
        <v>4</v>
      </c>
      <c r="H67" s="52">
        <v>20</v>
      </c>
      <c r="I67" s="52">
        <v>5</v>
      </c>
      <c r="J67" s="52">
        <v>0</v>
      </c>
      <c r="K67" s="52" t="s">
        <v>165</v>
      </c>
      <c r="L67" s="52">
        <v>7</v>
      </c>
      <c r="M67" s="52" t="s">
        <v>165</v>
      </c>
      <c r="N67" s="52" t="s">
        <v>166</v>
      </c>
    </row>
    <row r="68" spans="1:14" ht="16.5" x14ac:dyDescent="0.3">
      <c r="A68" s="52">
        <v>75</v>
      </c>
      <c r="B68" s="52" t="s">
        <v>290</v>
      </c>
      <c r="C68" s="52">
        <v>12</v>
      </c>
      <c r="D68" s="52">
        <v>1</v>
      </c>
      <c r="E68" s="52" t="s">
        <v>291</v>
      </c>
      <c r="F68" s="52">
        <v>7.75</v>
      </c>
      <c r="G68" s="52">
        <v>125</v>
      </c>
      <c r="H68" s="52">
        <v>0</v>
      </c>
      <c r="I68" s="52">
        <v>25</v>
      </c>
      <c r="J68" s="52">
        <v>0</v>
      </c>
      <c r="K68" s="52" t="s">
        <v>153</v>
      </c>
      <c r="L68" s="52">
        <v>1</v>
      </c>
      <c r="M68" s="52" t="s">
        <v>153</v>
      </c>
      <c r="N68" s="52" t="s">
        <v>413</v>
      </c>
    </row>
    <row r="69" spans="1:14" ht="16.5" x14ac:dyDescent="0.3">
      <c r="A69" s="52">
        <v>76</v>
      </c>
      <c r="B69" s="52" t="s">
        <v>292</v>
      </c>
      <c r="C69" s="52">
        <v>23</v>
      </c>
      <c r="D69" s="52">
        <v>1</v>
      </c>
      <c r="E69" s="52" t="s">
        <v>293</v>
      </c>
      <c r="F69" s="52">
        <v>18</v>
      </c>
      <c r="G69" s="52">
        <v>57</v>
      </c>
      <c r="H69" s="52">
        <v>0</v>
      </c>
      <c r="I69" s="52">
        <v>20</v>
      </c>
      <c r="J69" s="52">
        <v>0</v>
      </c>
      <c r="K69" s="52" t="s">
        <v>153</v>
      </c>
      <c r="L69" s="52">
        <v>1</v>
      </c>
      <c r="M69" s="52" t="s">
        <v>153</v>
      </c>
      <c r="N69" s="52" t="s">
        <v>413</v>
      </c>
    </row>
    <row r="70" spans="1:14" ht="16.5" x14ac:dyDescent="0.3">
      <c r="A70" s="52">
        <v>77</v>
      </c>
      <c r="B70" s="52" t="s">
        <v>294</v>
      </c>
      <c r="C70" s="52">
        <v>12</v>
      </c>
      <c r="D70" s="52">
        <v>2</v>
      </c>
      <c r="E70" s="52" t="s">
        <v>295</v>
      </c>
      <c r="F70" s="52">
        <v>13</v>
      </c>
      <c r="G70" s="52">
        <v>32</v>
      </c>
      <c r="H70" s="52">
        <v>0</v>
      </c>
      <c r="I70" s="52">
        <v>15</v>
      </c>
      <c r="J70" s="52">
        <v>0</v>
      </c>
      <c r="K70" s="52" t="s">
        <v>414</v>
      </c>
      <c r="L70" s="52">
        <v>2</v>
      </c>
      <c r="M70" s="52" t="s">
        <v>414</v>
      </c>
      <c r="N70" s="52" t="s">
        <v>158</v>
      </c>
    </row>
  </sheetData>
  <customSheetViews>
    <customSheetView guid="{8A6DCCC5-D866-46E7-B008-2AB15BA7B0AA}">
      <selection activeCell="B6" sqref="B6"/>
      <pageMargins left="0.75" right="0.75" top="1" bottom="1" header="0.5" footer="0.5"/>
      <pageSetup orientation="portrait" horizontalDpi="200" verticalDpi="200" r:id="rId1"/>
      <headerFooter alignWithMargins="0"/>
    </customSheetView>
    <customSheetView guid="{2BB9D149-3035-471F-8023-B102C129B036}">
      <selection activeCell="B6" sqref="B6"/>
    </customSheetView>
  </customSheetViews>
  <pageMargins left="0.75" right="0.75" top="1" bottom="1" header="0.5" footer="0.5"/>
  <pageSetup orientation="portrait" horizontalDpi="200" verticalDpi="200" r:id="rId2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58"/>
  <sheetViews>
    <sheetView workbookViewId="0">
      <selection activeCell="B18" sqref="B18"/>
    </sheetView>
  </sheetViews>
  <sheetFormatPr defaultRowHeight="15" customHeight="1" x14ac:dyDescent="0.3"/>
  <cols>
    <col min="1" max="1" width="23.625" customWidth="1"/>
    <col min="2" max="2" width="8.75" customWidth="1"/>
    <col min="3" max="3" width="10.625" customWidth="1"/>
    <col min="5" max="8" width="8"/>
    <col min="9" max="9" width="8" customWidth="1"/>
  </cols>
  <sheetData>
    <row r="1" spans="1:3" ht="15" customHeight="1" x14ac:dyDescent="0.3">
      <c r="A1" s="26"/>
      <c r="B1" s="24"/>
      <c r="C1" s="24"/>
    </row>
    <row r="2" spans="1:3" ht="15" customHeight="1" x14ac:dyDescent="0.3">
      <c r="A2" s="24" t="s">
        <v>297</v>
      </c>
      <c r="B2" s="24"/>
      <c r="C2" s="24"/>
    </row>
    <row r="3" spans="1:3" ht="15" customHeight="1" x14ac:dyDescent="0.3">
      <c r="A3" s="24" t="s">
        <v>298</v>
      </c>
      <c r="B3" s="25" t="s">
        <v>299</v>
      </c>
      <c r="C3" s="24" t="s">
        <v>300</v>
      </c>
    </row>
    <row r="4" spans="1:3" ht="15" customHeight="1" x14ac:dyDescent="0.3">
      <c r="A4" s="24" t="s">
        <v>301</v>
      </c>
      <c r="B4" s="25">
        <v>3.88185</v>
      </c>
      <c r="C4" s="24">
        <v>0.25760899999999998</v>
      </c>
    </row>
    <row r="5" spans="1:3" ht="15" customHeight="1" x14ac:dyDescent="0.3">
      <c r="A5" s="24" t="s">
        <v>302</v>
      </c>
      <c r="B5" s="25">
        <v>1.22394</v>
      </c>
      <c r="C5" s="24">
        <v>0.81703400000000004</v>
      </c>
    </row>
    <row r="6" spans="1:3" ht="15" customHeight="1" x14ac:dyDescent="0.3">
      <c r="A6" s="24" t="s">
        <v>303</v>
      </c>
      <c r="B6" s="25">
        <v>6.8027199999999999</v>
      </c>
      <c r="C6" s="24">
        <v>0.14699999999999999</v>
      </c>
    </row>
    <row r="7" spans="1:3" ht="15" customHeight="1" x14ac:dyDescent="0.3">
      <c r="A7" s="24" t="s">
        <v>304</v>
      </c>
      <c r="B7" s="25">
        <v>1.8910499999999999</v>
      </c>
      <c r="C7" s="24">
        <v>0.52880700000000003</v>
      </c>
    </row>
    <row r="8" spans="1:3" ht="15" customHeight="1" x14ac:dyDescent="0.3">
      <c r="A8" s="24" t="s">
        <v>305</v>
      </c>
      <c r="B8" s="25">
        <v>0.60940499999999997</v>
      </c>
      <c r="C8" s="24">
        <v>1.6409400000000001</v>
      </c>
    </row>
    <row r="9" spans="1:3" ht="15" customHeight="1" x14ac:dyDescent="0.3">
      <c r="A9" s="24" t="s">
        <v>306</v>
      </c>
      <c r="B9" s="25">
        <v>1.4433</v>
      </c>
      <c r="C9" s="24">
        <v>0.69285699999999995</v>
      </c>
    </row>
    <row r="10" spans="1:3" ht="15" customHeight="1" x14ac:dyDescent="0.3">
      <c r="A10" s="24" t="s">
        <v>307</v>
      </c>
      <c r="B10" s="25">
        <v>1.3747100000000001</v>
      </c>
      <c r="C10" s="24">
        <v>0.72742600000000002</v>
      </c>
    </row>
    <row r="11" spans="1:3" ht="15" customHeight="1" x14ac:dyDescent="0.3">
      <c r="A11" s="24" t="s">
        <v>308</v>
      </c>
      <c r="B11" s="25">
        <v>1.08294</v>
      </c>
      <c r="C11" s="24">
        <v>0.92341200000000001</v>
      </c>
    </row>
    <row r="12" spans="1:3" ht="15" customHeight="1" x14ac:dyDescent="0.3">
      <c r="A12" s="24" t="s">
        <v>309</v>
      </c>
      <c r="B12" s="25">
        <v>539.67100000000005</v>
      </c>
      <c r="C12" s="24">
        <v>1.8529799999999999E-3</v>
      </c>
    </row>
    <row r="13" spans="1:3" ht="15" customHeight="1" x14ac:dyDescent="0.3">
      <c r="A13" s="24" t="s">
        <v>310</v>
      </c>
      <c r="B13" s="25">
        <v>6.8310300000000002</v>
      </c>
      <c r="C13" s="24">
        <v>0.14639099999999999</v>
      </c>
    </row>
    <row r="14" spans="1:3" ht="15" customHeight="1" x14ac:dyDescent="0.3">
      <c r="A14" s="24" t="s">
        <v>311</v>
      </c>
      <c r="B14" s="25">
        <v>1967.7</v>
      </c>
      <c r="C14" s="24">
        <v>5.0820800000000001E-4</v>
      </c>
    </row>
    <row r="15" spans="1:3" ht="15" customHeight="1" x14ac:dyDescent="0.3">
      <c r="A15" s="24" t="s">
        <v>312</v>
      </c>
      <c r="B15" s="25">
        <v>5.1535799999999998</v>
      </c>
      <c r="C15" s="24">
        <v>0.19403999999999999</v>
      </c>
    </row>
    <row r="16" spans="1:3" ht="15" customHeight="1" x14ac:dyDescent="0.3">
      <c r="A16" s="24" t="s">
        <v>313</v>
      </c>
      <c r="B16" s="25">
        <v>5.2328000000000001</v>
      </c>
      <c r="C16" s="24">
        <v>0.19110199999999999</v>
      </c>
    </row>
    <row r="17" spans="1:3" ht="15" customHeight="1" x14ac:dyDescent="0.3">
      <c r="A17" s="24" t="s">
        <v>314</v>
      </c>
      <c r="B17" s="25">
        <v>10.9978</v>
      </c>
      <c r="C17" s="24">
        <v>9.0927300000000003E-2</v>
      </c>
    </row>
    <row r="18" spans="1:3" ht="15" customHeight="1" x14ac:dyDescent="0.3">
      <c r="A18" s="24" t="s">
        <v>315</v>
      </c>
      <c r="B18" s="27">
        <v>0.70288899999999999</v>
      </c>
      <c r="C18" s="24">
        <v>1.4227000000000001</v>
      </c>
    </row>
    <row r="19" spans="1:3" ht="15" customHeight="1" x14ac:dyDescent="0.3">
      <c r="A19" s="24" t="s">
        <v>316</v>
      </c>
      <c r="B19" s="25">
        <v>7.7499799999999999</v>
      </c>
      <c r="C19" s="24">
        <v>0.12903300000000001</v>
      </c>
    </row>
    <row r="20" spans="1:3" ht="15" customHeight="1" x14ac:dyDescent="0.3">
      <c r="A20" s="24" t="s">
        <v>317</v>
      </c>
      <c r="B20" s="25">
        <v>187.38300000000001</v>
      </c>
      <c r="C20" s="24">
        <v>5.33666E-3</v>
      </c>
    </row>
    <row r="21" spans="1:3" ht="15" customHeight="1" x14ac:dyDescent="0.3">
      <c r="A21" s="24" t="s">
        <v>318</v>
      </c>
      <c r="B21" s="25">
        <v>126.114</v>
      </c>
      <c r="C21" s="24">
        <v>7.9293300000000001E-3</v>
      </c>
    </row>
    <row r="22" spans="1:3" ht="15" customHeight="1" x14ac:dyDescent="0.3">
      <c r="A22" s="24" t="s">
        <v>319</v>
      </c>
      <c r="B22" s="25">
        <v>48.2301</v>
      </c>
      <c r="C22" s="24">
        <v>2.07339E-2</v>
      </c>
    </row>
    <row r="23" spans="1:3" ht="15" customHeight="1" x14ac:dyDescent="0.3">
      <c r="A23" s="24" t="s">
        <v>320</v>
      </c>
      <c r="B23" s="25">
        <v>3.8638599999999999</v>
      </c>
      <c r="C23" s="24">
        <v>0.25880900000000001</v>
      </c>
    </row>
    <row r="24" spans="1:3" ht="15" customHeight="1" x14ac:dyDescent="0.3">
      <c r="A24" s="24" t="s">
        <v>321</v>
      </c>
      <c r="B24" s="25">
        <v>94.833799999999997</v>
      </c>
      <c r="C24" s="24">
        <v>1.05448E-2</v>
      </c>
    </row>
    <row r="25" spans="1:3" ht="15" customHeight="1" x14ac:dyDescent="0.3">
      <c r="A25" s="24" t="s">
        <v>322</v>
      </c>
      <c r="B25" s="25">
        <v>150.72999999999999</v>
      </c>
      <c r="C25" s="24">
        <v>6.6343799999999996E-3</v>
      </c>
    </row>
    <row r="26" spans="1:3" ht="15" customHeight="1" x14ac:dyDescent="0.3">
      <c r="A26" s="24" t="s">
        <v>323</v>
      </c>
      <c r="B26" s="25">
        <v>0.28689999999999999</v>
      </c>
      <c r="C26" s="24">
        <v>3.4855399999999999</v>
      </c>
    </row>
    <row r="27" spans="1:3" ht="15" customHeight="1" x14ac:dyDescent="0.3">
      <c r="A27" s="24" t="s">
        <v>324</v>
      </c>
      <c r="B27" s="25">
        <v>0.49413099999999999</v>
      </c>
      <c r="C27" s="24">
        <v>2.0237500000000002</v>
      </c>
    </row>
    <row r="28" spans="1:3" ht="15" customHeight="1" x14ac:dyDescent="0.3">
      <c r="A28" s="24" t="s">
        <v>325</v>
      </c>
      <c r="B28" s="25">
        <v>1.9323699999999999</v>
      </c>
      <c r="C28" s="24">
        <v>0.51749900000000004</v>
      </c>
    </row>
    <row r="29" spans="1:3" ht="15" customHeight="1" x14ac:dyDescent="0.3">
      <c r="A29" s="24" t="s">
        <v>326</v>
      </c>
      <c r="B29" s="25">
        <v>2.42693</v>
      </c>
      <c r="C29" s="24">
        <v>0.41204299999999999</v>
      </c>
    </row>
    <row r="30" spans="1:3" ht="15" customHeight="1" x14ac:dyDescent="0.3">
      <c r="A30" s="24" t="s">
        <v>327</v>
      </c>
      <c r="B30" s="25">
        <v>3.52949</v>
      </c>
      <c r="C30" s="24">
        <v>0.283327</v>
      </c>
    </row>
    <row r="31" spans="1:3" ht="15" customHeight="1" x14ac:dyDescent="0.3">
      <c r="A31" s="24" t="s">
        <v>328</v>
      </c>
      <c r="B31" s="25">
        <v>3.3140000000000001</v>
      </c>
      <c r="C31" s="24">
        <v>0.30175000000000002</v>
      </c>
    </row>
    <row r="32" spans="1:3" ht="15" customHeight="1" x14ac:dyDescent="0.3">
      <c r="A32" s="24" t="s">
        <v>329</v>
      </c>
      <c r="B32" s="25">
        <v>31.7638</v>
      </c>
      <c r="C32" s="24">
        <v>3.1482400000000001E-2</v>
      </c>
    </row>
    <row r="33" spans="1:3" ht="15" customHeight="1" x14ac:dyDescent="0.3">
      <c r="A33" s="24" t="s">
        <v>330</v>
      </c>
      <c r="B33" s="25">
        <v>13.183</v>
      </c>
      <c r="C33" s="24">
        <v>7.5855300000000001E-2</v>
      </c>
    </row>
    <row r="34" spans="1:3" ht="15" customHeight="1" x14ac:dyDescent="0.3">
      <c r="A34" s="24" t="s">
        <v>331</v>
      </c>
      <c r="B34" s="25">
        <v>77.510000000000005</v>
      </c>
      <c r="C34" s="24">
        <v>1.2901599999999999E-2</v>
      </c>
    </row>
    <row r="35" spans="1:3" ht="15" customHeight="1" x14ac:dyDescent="0.3">
      <c r="A35" s="24" t="s">
        <v>332</v>
      </c>
      <c r="B35" s="25">
        <v>1.52267</v>
      </c>
      <c r="C35" s="24">
        <v>0.65674100000000002</v>
      </c>
    </row>
    <row r="36" spans="1:3" ht="15" customHeight="1" x14ac:dyDescent="0.3">
      <c r="A36" s="24" t="s">
        <v>333</v>
      </c>
      <c r="B36" s="25">
        <v>6.2275999999999998</v>
      </c>
      <c r="C36" s="24">
        <v>0.160576</v>
      </c>
    </row>
    <row r="37" spans="1:3" ht="15" customHeight="1" x14ac:dyDescent="0.3">
      <c r="A37" s="24" t="s">
        <v>334</v>
      </c>
      <c r="B37" s="25">
        <v>0.38450000000000001</v>
      </c>
      <c r="C37" s="24">
        <v>2.6007799999999999</v>
      </c>
    </row>
    <row r="38" spans="1:3" ht="15" customHeight="1" x14ac:dyDescent="0.3">
      <c r="A38" s="24" t="s">
        <v>335</v>
      </c>
      <c r="B38" s="25">
        <v>82.074200000000005</v>
      </c>
      <c r="C38" s="24">
        <v>1.21841E-2</v>
      </c>
    </row>
    <row r="39" spans="1:3" ht="15" customHeight="1" x14ac:dyDescent="0.3">
      <c r="A39" s="24" t="s">
        <v>336</v>
      </c>
      <c r="B39" s="25">
        <v>3.64</v>
      </c>
      <c r="C39" s="24">
        <v>0.274725</v>
      </c>
    </row>
    <row r="40" spans="1:3" ht="15" customHeight="1" x14ac:dyDescent="0.3">
      <c r="A40" s="24" t="s">
        <v>337</v>
      </c>
      <c r="B40" s="25">
        <v>2.9626800000000002</v>
      </c>
      <c r="C40" s="24">
        <v>0.337532</v>
      </c>
    </row>
    <row r="41" spans="1:3" ht="15" customHeight="1" x14ac:dyDescent="0.3">
      <c r="A41" s="24" t="s">
        <v>338</v>
      </c>
      <c r="B41" s="25">
        <v>30.996700000000001</v>
      </c>
      <c r="C41" s="24">
        <v>3.2261499999999999E-2</v>
      </c>
    </row>
    <row r="42" spans="1:3" ht="15" customHeight="1" x14ac:dyDescent="0.3">
      <c r="A42" s="24" t="s">
        <v>339</v>
      </c>
      <c r="B42" s="25">
        <v>3.75</v>
      </c>
      <c r="C42" s="24">
        <v>0.26666699999999999</v>
      </c>
    </row>
    <row r="43" spans="1:3" ht="15" customHeight="1" x14ac:dyDescent="0.3">
      <c r="A43" s="24" t="s">
        <v>340</v>
      </c>
      <c r="B43" s="25">
        <v>1.44001</v>
      </c>
      <c r="C43" s="24">
        <v>0.69443999999999995</v>
      </c>
    </row>
    <row r="44" spans="1:3" ht="15" customHeight="1" x14ac:dyDescent="0.3">
      <c r="A44" s="24" t="s">
        <v>341</v>
      </c>
      <c r="B44" s="25">
        <v>7.7664999999999997</v>
      </c>
      <c r="C44" s="24">
        <v>0.12875800000000001</v>
      </c>
    </row>
    <row r="45" spans="1:3" ht="16.5" x14ac:dyDescent="0.3">
      <c r="A45" s="24" t="s">
        <v>342</v>
      </c>
      <c r="B45" s="25">
        <v>1247.8900000000001</v>
      </c>
      <c r="C45" s="24">
        <v>8.0135299999999998E-4</v>
      </c>
    </row>
    <row r="46" spans="1:3" ht="16.5" x14ac:dyDescent="0.3">
      <c r="A46" s="24" t="s">
        <v>343</v>
      </c>
      <c r="B46" s="25">
        <v>114.9</v>
      </c>
      <c r="C46" s="24">
        <v>8.7032199999999994E-3</v>
      </c>
    </row>
    <row r="47" spans="1:3" ht="16.5" x14ac:dyDescent="0.3">
      <c r="A47" s="24" t="s">
        <v>344</v>
      </c>
      <c r="B47" s="25">
        <v>7.4502699999999997</v>
      </c>
      <c r="C47" s="24">
        <v>0.13422300000000001</v>
      </c>
    </row>
    <row r="48" spans="1:3" ht="16.5" x14ac:dyDescent="0.3">
      <c r="A48" s="24" t="s">
        <v>345</v>
      </c>
      <c r="B48" s="25">
        <v>1.06959</v>
      </c>
      <c r="C48" s="24">
        <v>0.93493800000000005</v>
      </c>
    </row>
    <row r="49" spans="1:3" ht="16.5" x14ac:dyDescent="0.3">
      <c r="A49" s="24" t="s">
        <v>346</v>
      </c>
      <c r="B49" s="25">
        <v>32.834600000000002</v>
      </c>
      <c r="C49" s="24">
        <v>3.0455699999999999E-2</v>
      </c>
    </row>
    <row r="50" spans="1:3" ht="16.5" x14ac:dyDescent="0.3">
      <c r="A50" s="24" t="s">
        <v>347</v>
      </c>
      <c r="B50" s="25">
        <v>33.965000000000003</v>
      </c>
      <c r="C50" s="24">
        <v>2.9442099999999999E-2</v>
      </c>
    </row>
    <row r="51" spans="1:3" ht="16.5" x14ac:dyDescent="0.3">
      <c r="A51" s="24" t="s">
        <v>348</v>
      </c>
      <c r="B51" s="25">
        <v>6.2238800000000003</v>
      </c>
      <c r="C51" s="24">
        <v>0.16067100000000001</v>
      </c>
    </row>
    <row r="52" spans="1:3" ht="16.5" x14ac:dyDescent="0.3">
      <c r="A52" s="24" t="s">
        <v>349</v>
      </c>
      <c r="B52" s="25">
        <v>1.4831000000000001</v>
      </c>
      <c r="C52" s="24">
        <v>0.67426299999999995</v>
      </c>
    </row>
    <row r="53" spans="1:3" ht="16.5" x14ac:dyDescent="0.3">
      <c r="A53" s="24" t="s">
        <v>350</v>
      </c>
      <c r="B53" s="25">
        <v>2.1473599999999999</v>
      </c>
      <c r="C53" s="24">
        <v>0.46568799999999999</v>
      </c>
    </row>
    <row r="54" spans="1:3" ht="16.5" x14ac:dyDescent="0.3">
      <c r="A54" s="24" t="s">
        <v>351</v>
      </c>
      <c r="B54" s="25"/>
      <c r="C54" s="24"/>
    </row>
    <row r="55" spans="1:3" ht="16.5" x14ac:dyDescent="0.3">
      <c r="A55" s="24"/>
      <c r="B55" s="25"/>
      <c r="C55" s="24"/>
    </row>
    <row r="56" spans="1:3" ht="16.5" x14ac:dyDescent="0.3">
      <c r="A56" s="24" t="s">
        <v>352</v>
      </c>
      <c r="B56" s="25"/>
      <c r="C56" s="24"/>
    </row>
    <row r="57" spans="1:3" ht="16.5" x14ac:dyDescent="0.3">
      <c r="A57" s="24"/>
      <c r="B57" s="25"/>
      <c r="C57" s="24"/>
    </row>
    <row r="58" spans="1:3" ht="16.5" x14ac:dyDescent="0.3">
      <c r="A58" s="24" t="s">
        <v>353</v>
      </c>
      <c r="B58" s="25"/>
      <c r="C58" s="24"/>
    </row>
  </sheetData>
  <customSheetViews>
    <customSheetView guid="{8A6DCCC5-D866-46E7-B008-2AB15BA7B0AA}" state="veryHidden">
      <selection activeCell="B18" sqref="B18"/>
      <pageMargins left="0.7" right="0.7" top="0.75" bottom="0.75" header="0.3" footer="0.3"/>
    </customSheetView>
    <customSheetView guid="{2BB9D149-3035-471F-8023-B102C129B036}" state="veryHidden">
      <selection activeCell="B18" sqref="B18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13</vt:i4>
      </vt:variant>
    </vt:vector>
  </HeadingPairs>
  <TitlesOfParts>
    <vt:vector size="20" baseType="lpstr">
      <vt:lpstr>Documentation</vt:lpstr>
      <vt:lpstr>P&amp;L Statement</vt:lpstr>
      <vt:lpstr>CASH_FLOW</vt:lpstr>
      <vt:lpstr>Cost Cap</vt:lpstr>
      <vt:lpstr>Commissions</vt:lpstr>
      <vt:lpstr>ExchRates</vt:lpstr>
      <vt:lpstr>Access Database</vt:lpstr>
      <vt:lpstr>CurrentDateCell</vt:lpstr>
      <vt:lpstr>GenExpenses</vt:lpstr>
      <vt:lpstr>'P&amp;L Statement'!GPPrior</vt:lpstr>
      <vt:lpstr>GrossProfit</vt:lpstr>
      <vt:lpstr>'Access Database'!MS_Access_Database</vt:lpstr>
      <vt:lpstr>OpExpenses</vt:lpstr>
      <vt:lpstr>RDExpenses</vt:lpstr>
      <vt:lpstr>RevenueData</vt:lpstr>
      <vt:lpstr>SalesCostBudget</vt:lpstr>
      <vt:lpstr>SalesCostCurrent</vt:lpstr>
      <vt:lpstr>SalesCostPrior</vt:lpstr>
      <vt:lpstr>SalesData</vt:lpstr>
      <vt:lpstr>ExchRates!table</vt:lpstr>
    </vt:vector>
  </TitlesOfParts>
  <Company>test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ok</dc:title>
  <dc:subject>t est</dc:subject>
  <dc:creator>Steve Prodiance</dc:creator>
  <cp:keywords>Critical</cp:keywords>
  <dc:description>tetst</dc:description>
  <cp:lastModifiedBy>Ari Schorr</cp:lastModifiedBy>
  <dcterms:created xsi:type="dcterms:W3CDTF">2008-03-19T01:04:23Z</dcterms:created>
  <dcterms:modified xsi:type="dcterms:W3CDTF">2013-02-01T06:26:55Z</dcterms:modified>
  <cp:category>test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epartment">
    <vt:lpwstr>Finance</vt:lpwstr>
  </property>
  <property fmtid="{D5CDD505-2E9C-101B-9397-08002B2CF9AE}" pid="3" name="Label">
    <vt:lpwstr>Critical</vt:lpwstr>
  </property>
</Properties>
</file>